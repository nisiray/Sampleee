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plore-phase2\"/>
    </mc:Choice>
  </mc:AlternateContent>
  <xr:revisionPtr revIDLastSave="0" documentId="13_ncr:1_{BB5106DC-29A6-4F28-B768-00047706E9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2" i="1"/>
</calcChain>
</file>

<file path=xl/sharedStrings.xml><?xml version="1.0" encoding="utf-8"?>
<sst xmlns="http://schemas.openxmlformats.org/spreadsheetml/2006/main" count="4816" uniqueCount="836">
  <si>
    <t>customer_id</t>
  </si>
  <si>
    <t>age</t>
  </si>
  <si>
    <t>gender</t>
  </si>
  <si>
    <t>country</t>
  </si>
  <si>
    <t>visit_date</t>
  </si>
  <si>
    <t>seating_region</t>
  </si>
  <si>
    <t>ticket_price</t>
  </si>
  <si>
    <t>num_tickets</t>
  </si>
  <si>
    <t>merchandise_spend</t>
  </si>
  <si>
    <t>drink_spend</t>
  </si>
  <si>
    <t>repeat_visit</t>
  </si>
  <si>
    <t>satisfaction_score</t>
  </si>
  <si>
    <t>recommendation_likelihood</t>
  </si>
  <si>
    <t>age_category</t>
  </si>
  <si>
    <t>CUST_0001</t>
  </si>
  <si>
    <t>Male</t>
  </si>
  <si>
    <t>Sweden</t>
  </si>
  <si>
    <t>VIP</t>
  </si>
  <si>
    <t>No</t>
  </si>
  <si>
    <t>Middle-Aged Adult</t>
  </si>
  <si>
    <t>CUST_0002</t>
  </si>
  <si>
    <t>Female</t>
  </si>
  <si>
    <t>Australia</t>
  </si>
  <si>
    <t>Premium</t>
  </si>
  <si>
    <t>Yes</t>
  </si>
  <si>
    <t>Senior Adult</t>
  </si>
  <si>
    <t>CUST_0003</t>
  </si>
  <si>
    <t>USA</t>
  </si>
  <si>
    <t>CUST_0004</t>
  </si>
  <si>
    <t>High Economy</t>
  </si>
  <si>
    <t>Adult</t>
  </si>
  <si>
    <t>CUST_0005</t>
  </si>
  <si>
    <t>CUST_0006</t>
  </si>
  <si>
    <t>Japan</t>
  </si>
  <si>
    <t>Young Adult</t>
  </si>
  <si>
    <t>CUST_0007</t>
  </si>
  <si>
    <t>Germany</t>
  </si>
  <si>
    <t>CUST_0008</t>
  </si>
  <si>
    <t>Other</t>
  </si>
  <si>
    <t>CUST_0009</t>
  </si>
  <si>
    <t>UK</t>
  </si>
  <si>
    <t>Economy</t>
  </si>
  <si>
    <t>CUST_0010</t>
  </si>
  <si>
    <t>CUST_0011</t>
  </si>
  <si>
    <t>CUST_0012</t>
  </si>
  <si>
    <t>CUST_0013</t>
  </si>
  <si>
    <t>CUST_0014</t>
  </si>
  <si>
    <t>CUST_0015</t>
  </si>
  <si>
    <t>CUST_0016</t>
  </si>
  <si>
    <t>CUST_0017</t>
  </si>
  <si>
    <t>CUST_0018</t>
  </si>
  <si>
    <t>CUST_0019</t>
  </si>
  <si>
    <t>France</t>
  </si>
  <si>
    <t>CUST_0020</t>
  </si>
  <si>
    <t>CUST_0021</t>
  </si>
  <si>
    <t>CUST_0022</t>
  </si>
  <si>
    <t>CUST_0023</t>
  </si>
  <si>
    <t>CUST_0024</t>
  </si>
  <si>
    <t>CUST_0025</t>
  </si>
  <si>
    <t>CUST_0026</t>
  </si>
  <si>
    <t>CUST_0027</t>
  </si>
  <si>
    <t>CUST_0028</t>
  </si>
  <si>
    <t>CUST_0029</t>
  </si>
  <si>
    <t>CUST_0030</t>
  </si>
  <si>
    <t>CUST_0031</t>
  </si>
  <si>
    <t>CUST_0032</t>
  </si>
  <si>
    <t>CUST_0033</t>
  </si>
  <si>
    <t>CUST_0034</t>
  </si>
  <si>
    <t>CUST_0035</t>
  </si>
  <si>
    <t>CUST_0036</t>
  </si>
  <si>
    <t>CUST_0037</t>
  </si>
  <si>
    <t>CUST_0038</t>
  </si>
  <si>
    <t>CUST_0039</t>
  </si>
  <si>
    <t>CUST_0040</t>
  </si>
  <si>
    <t>CUST_0041</t>
  </si>
  <si>
    <t>CUST_0042</t>
  </si>
  <si>
    <t>CUST_0043</t>
  </si>
  <si>
    <t>CUST_0044</t>
  </si>
  <si>
    <t>CUST_0045</t>
  </si>
  <si>
    <t>CUST_0046</t>
  </si>
  <si>
    <t>CUST_0047</t>
  </si>
  <si>
    <t>CUST_0048</t>
  </si>
  <si>
    <t>CUST_0049</t>
  </si>
  <si>
    <t>CUST_0050</t>
  </si>
  <si>
    <t>CUST_0051</t>
  </si>
  <si>
    <t>CUST_0052</t>
  </si>
  <si>
    <t>CUST_0053</t>
  </si>
  <si>
    <t>CUST_0054</t>
  </si>
  <si>
    <t>CUST_0055</t>
  </si>
  <si>
    <t>CUST_0056</t>
  </si>
  <si>
    <t>CUST_0057</t>
  </si>
  <si>
    <t>CUST_0058</t>
  </si>
  <si>
    <t>CUST_0059</t>
  </si>
  <si>
    <t>CUST_0060</t>
  </si>
  <si>
    <t>CUST_0061</t>
  </si>
  <si>
    <t>CUST_0062</t>
  </si>
  <si>
    <t>CUST_0063</t>
  </si>
  <si>
    <t>CUST_0064</t>
  </si>
  <si>
    <t>CUST_0065</t>
  </si>
  <si>
    <t>CUST_0066</t>
  </si>
  <si>
    <t>CUST_0067</t>
  </si>
  <si>
    <t>CUST_0068</t>
  </si>
  <si>
    <t>CUST_0069</t>
  </si>
  <si>
    <t>CUST_0070</t>
  </si>
  <si>
    <t>CUST_0071</t>
  </si>
  <si>
    <t>CUST_0072</t>
  </si>
  <si>
    <t>CUST_0073</t>
  </si>
  <si>
    <t>CUST_0074</t>
  </si>
  <si>
    <t>CUST_0075</t>
  </si>
  <si>
    <t>CUST_0076</t>
  </si>
  <si>
    <t>CUST_0077</t>
  </si>
  <si>
    <t>CUST_0078</t>
  </si>
  <si>
    <t>CUST_0079</t>
  </si>
  <si>
    <t>CUST_0080</t>
  </si>
  <si>
    <t>CUST_0081</t>
  </si>
  <si>
    <t>CUST_0082</t>
  </si>
  <si>
    <t>CUST_0083</t>
  </si>
  <si>
    <t>CUST_0084</t>
  </si>
  <si>
    <t>CUST_0085</t>
  </si>
  <si>
    <t>CUST_0086</t>
  </si>
  <si>
    <t>CUST_0087</t>
  </si>
  <si>
    <t>CUST_0088</t>
  </si>
  <si>
    <t>CUST_0089</t>
  </si>
  <si>
    <t>CUST_0090</t>
  </si>
  <si>
    <t>CUST_0091</t>
  </si>
  <si>
    <t>CUST_0092</t>
  </si>
  <si>
    <t>CUST_0093</t>
  </si>
  <si>
    <t>CUST_0094</t>
  </si>
  <si>
    <t>CUST_0095</t>
  </si>
  <si>
    <t>CUST_0096</t>
  </si>
  <si>
    <t>CUST_0097</t>
  </si>
  <si>
    <t>CUST_0098</t>
  </si>
  <si>
    <t>CUST_0099</t>
  </si>
  <si>
    <t>CUST_0100</t>
  </si>
  <si>
    <t>CUST_0101</t>
  </si>
  <si>
    <t>CUST_0102</t>
  </si>
  <si>
    <t>CUST_0103</t>
  </si>
  <si>
    <t>CUST_0104</t>
  </si>
  <si>
    <t>CUST_0105</t>
  </si>
  <si>
    <t>CUST_0106</t>
  </si>
  <si>
    <t>CUST_0107</t>
  </si>
  <si>
    <t>CUST_0108</t>
  </si>
  <si>
    <t>CUST_0109</t>
  </si>
  <si>
    <t>CUST_0110</t>
  </si>
  <si>
    <t>CUST_0111</t>
  </si>
  <si>
    <t>CUST_0112</t>
  </si>
  <si>
    <t>CUST_0113</t>
  </si>
  <si>
    <t>CUST_0114</t>
  </si>
  <si>
    <t>CUST_0115</t>
  </si>
  <si>
    <t>CUST_0116</t>
  </si>
  <si>
    <t>CUST_0117</t>
  </si>
  <si>
    <t>CUST_0118</t>
  </si>
  <si>
    <t>CUST_0119</t>
  </si>
  <si>
    <t>CUST_0120</t>
  </si>
  <si>
    <t>CUST_0121</t>
  </si>
  <si>
    <t>CUST_0122</t>
  </si>
  <si>
    <t>CUST_0123</t>
  </si>
  <si>
    <t>CUST_0124</t>
  </si>
  <si>
    <t>CUST_0125</t>
  </si>
  <si>
    <t>CUST_0126</t>
  </si>
  <si>
    <t>CUST_0127</t>
  </si>
  <si>
    <t>CUST_0128</t>
  </si>
  <si>
    <t>CUST_0129</t>
  </si>
  <si>
    <t>CUST_0130</t>
  </si>
  <si>
    <t>CUST_0131</t>
  </si>
  <si>
    <t>CUST_0132</t>
  </si>
  <si>
    <t>CUST_0133</t>
  </si>
  <si>
    <t>CUST_0134</t>
  </si>
  <si>
    <t>CUST_0135</t>
  </si>
  <si>
    <t>CUST_0136</t>
  </si>
  <si>
    <t>CUST_0137</t>
  </si>
  <si>
    <t>CUST_0138</t>
  </si>
  <si>
    <t>CUST_0139</t>
  </si>
  <si>
    <t>CUST_0140</t>
  </si>
  <si>
    <t>CUST_0141</t>
  </si>
  <si>
    <t>CUST_0142</t>
  </si>
  <si>
    <t>CUST_0143</t>
  </si>
  <si>
    <t>CUST_0144</t>
  </si>
  <si>
    <t>CUST_0145</t>
  </si>
  <si>
    <t>CUST_0146</t>
  </si>
  <si>
    <t>CUST_0147</t>
  </si>
  <si>
    <t>CUST_0148</t>
  </si>
  <si>
    <t>CUST_0149</t>
  </si>
  <si>
    <t>CUST_0150</t>
  </si>
  <si>
    <t>CUST_0151</t>
  </si>
  <si>
    <t>CUST_0152</t>
  </si>
  <si>
    <t>CUST_0153</t>
  </si>
  <si>
    <t>CUST_0154</t>
  </si>
  <si>
    <t>CUST_0155</t>
  </si>
  <si>
    <t>CUST_0156</t>
  </si>
  <si>
    <t>CUST_0157</t>
  </si>
  <si>
    <t>CUST_0158</t>
  </si>
  <si>
    <t>CUST_0159</t>
  </si>
  <si>
    <t>CUST_0160</t>
  </si>
  <si>
    <t>CUST_0161</t>
  </si>
  <si>
    <t>CUST_0162</t>
  </si>
  <si>
    <t>CUST_0163</t>
  </si>
  <si>
    <t>CUST_0164</t>
  </si>
  <si>
    <t>CUST_0165</t>
  </si>
  <si>
    <t>CUST_0166</t>
  </si>
  <si>
    <t>CUST_0167</t>
  </si>
  <si>
    <t>CUST_0168</t>
  </si>
  <si>
    <t>CUST_0169</t>
  </si>
  <si>
    <t>CUST_0170</t>
  </si>
  <si>
    <t>CUST_0171</t>
  </si>
  <si>
    <t>CUST_0172</t>
  </si>
  <si>
    <t>CUST_0173</t>
  </si>
  <si>
    <t>CUST_0174</t>
  </si>
  <si>
    <t>CUST_0175</t>
  </si>
  <si>
    <t>CUST_0176</t>
  </si>
  <si>
    <t>CUST_0177</t>
  </si>
  <si>
    <t>CUST_0178</t>
  </si>
  <si>
    <t>CUST_0179</t>
  </si>
  <si>
    <t>CUST_0180</t>
  </si>
  <si>
    <t>CUST_0181</t>
  </si>
  <si>
    <t>CUST_0182</t>
  </si>
  <si>
    <t>CUST_0183</t>
  </si>
  <si>
    <t>CUST_0184</t>
  </si>
  <si>
    <t>CUST_0185</t>
  </si>
  <si>
    <t>CUST_0186</t>
  </si>
  <si>
    <t>CUST_0187</t>
  </si>
  <si>
    <t>CUST_0188</t>
  </si>
  <si>
    <t>CUST_0189</t>
  </si>
  <si>
    <t>CUST_0190</t>
  </si>
  <si>
    <t>CUST_0191</t>
  </si>
  <si>
    <t>CUST_0192</t>
  </si>
  <si>
    <t>CUST_0193</t>
  </si>
  <si>
    <t>CUST_0194</t>
  </si>
  <si>
    <t>CUST_0195</t>
  </si>
  <si>
    <t>CUST_0196</t>
  </si>
  <si>
    <t>CUST_0197</t>
  </si>
  <si>
    <t>CUST_0198</t>
  </si>
  <si>
    <t>CUST_0199</t>
  </si>
  <si>
    <t>CUST_0200</t>
  </si>
  <si>
    <t>CUST_0201</t>
  </si>
  <si>
    <t>CUST_0202</t>
  </si>
  <si>
    <t>CUST_0203</t>
  </si>
  <si>
    <t>CUST_0204</t>
  </si>
  <si>
    <t>CUST_0205</t>
  </si>
  <si>
    <t>CUST_0206</t>
  </si>
  <si>
    <t>CUST_0207</t>
  </si>
  <si>
    <t>CUST_0208</t>
  </si>
  <si>
    <t>CUST_0209</t>
  </si>
  <si>
    <t>CUST_0210</t>
  </si>
  <si>
    <t>CUST_0211</t>
  </si>
  <si>
    <t>CUST_0212</t>
  </si>
  <si>
    <t>CUST_0213</t>
  </si>
  <si>
    <t>CUST_0214</t>
  </si>
  <si>
    <t>CUST_0215</t>
  </si>
  <si>
    <t>CUST_0216</t>
  </si>
  <si>
    <t>CUST_0217</t>
  </si>
  <si>
    <t>CUST_0218</t>
  </si>
  <si>
    <t>CUST_0219</t>
  </si>
  <si>
    <t>CUST_0220</t>
  </si>
  <si>
    <t>CUST_0221</t>
  </si>
  <si>
    <t>CUST_0222</t>
  </si>
  <si>
    <t>CUST_0223</t>
  </si>
  <si>
    <t>CUST_0224</t>
  </si>
  <si>
    <t>CUST_0225</t>
  </si>
  <si>
    <t>CUST_0226</t>
  </si>
  <si>
    <t>CUST_0227</t>
  </si>
  <si>
    <t>CUST_0228</t>
  </si>
  <si>
    <t>CUST_0229</t>
  </si>
  <si>
    <t>CUST_0230</t>
  </si>
  <si>
    <t>CUST_0231</t>
  </si>
  <si>
    <t>CUST_0232</t>
  </si>
  <si>
    <t>CUST_0233</t>
  </si>
  <si>
    <t>CUST_0234</t>
  </si>
  <si>
    <t>CUST_0235</t>
  </si>
  <si>
    <t>CUST_0236</t>
  </si>
  <si>
    <t>CUST_0237</t>
  </si>
  <si>
    <t>CUST_0238</t>
  </si>
  <si>
    <t>CUST_0239</t>
  </si>
  <si>
    <t>CUST_0240</t>
  </si>
  <si>
    <t>CUST_0241</t>
  </si>
  <si>
    <t>CUST_0242</t>
  </si>
  <si>
    <t>CUST_0243</t>
  </si>
  <si>
    <t>CUST_0244</t>
  </si>
  <si>
    <t>CUST_0245</t>
  </si>
  <si>
    <t>CUST_0246</t>
  </si>
  <si>
    <t>CUST_0247</t>
  </si>
  <si>
    <t>CUST_0248</t>
  </si>
  <si>
    <t>CUST_0249</t>
  </si>
  <si>
    <t>CUST_0250</t>
  </si>
  <si>
    <t>CUST_0251</t>
  </si>
  <si>
    <t>CUST_0252</t>
  </si>
  <si>
    <t>CUST_0253</t>
  </si>
  <si>
    <t>CUST_0254</t>
  </si>
  <si>
    <t>CUST_0255</t>
  </si>
  <si>
    <t>CUST_0256</t>
  </si>
  <si>
    <t>CUST_0257</t>
  </si>
  <si>
    <t>CUST_0258</t>
  </si>
  <si>
    <t>CUST_0259</t>
  </si>
  <si>
    <t>CUST_0260</t>
  </si>
  <si>
    <t>CUST_0261</t>
  </si>
  <si>
    <t>CUST_0262</t>
  </si>
  <si>
    <t>CUST_0263</t>
  </si>
  <si>
    <t>CUST_0264</t>
  </si>
  <si>
    <t>CUST_0265</t>
  </si>
  <si>
    <t>CUST_0266</t>
  </si>
  <si>
    <t>CUST_0267</t>
  </si>
  <si>
    <t>CUST_0268</t>
  </si>
  <si>
    <t>CUST_0269</t>
  </si>
  <si>
    <t>CUST_0270</t>
  </si>
  <si>
    <t>CUST_0271</t>
  </si>
  <si>
    <t>CUST_0272</t>
  </si>
  <si>
    <t>CUST_0273</t>
  </si>
  <si>
    <t>CUST_0274</t>
  </si>
  <si>
    <t>CUST_0275</t>
  </si>
  <si>
    <t>CUST_0276</t>
  </si>
  <si>
    <t>CUST_0277</t>
  </si>
  <si>
    <t>CUST_0278</t>
  </si>
  <si>
    <t>CUST_0279</t>
  </si>
  <si>
    <t>CUST_0280</t>
  </si>
  <si>
    <t>CUST_0281</t>
  </si>
  <si>
    <t>CUST_0282</t>
  </si>
  <si>
    <t>CUST_0283</t>
  </si>
  <si>
    <t>CUST_0284</t>
  </si>
  <si>
    <t>CUST_0285</t>
  </si>
  <si>
    <t>CUST_0286</t>
  </si>
  <si>
    <t>CUST_0287</t>
  </si>
  <si>
    <t>CUST_0288</t>
  </si>
  <si>
    <t>CUST_0289</t>
  </si>
  <si>
    <t>CUST_0290</t>
  </si>
  <si>
    <t>CUST_0291</t>
  </si>
  <si>
    <t>CUST_0292</t>
  </si>
  <si>
    <t>CUST_0293</t>
  </si>
  <si>
    <t>CUST_0294</t>
  </si>
  <si>
    <t>CUST_0295</t>
  </si>
  <si>
    <t>CUST_0296</t>
  </si>
  <si>
    <t>CUST_0297</t>
  </si>
  <si>
    <t>CUST_0298</t>
  </si>
  <si>
    <t>CUST_0299</t>
  </si>
  <si>
    <t>CUST_0300</t>
  </si>
  <si>
    <t>CUST_0301</t>
  </si>
  <si>
    <t>CUST_0302</t>
  </si>
  <si>
    <t>CUST_0303</t>
  </si>
  <si>
    <t>CUST_0304</t>
  </si>
  <si>
    <t>CUST_0305</t>
  </si>
  <si>
    <t>CUST_0306</t>
  </si>
  <si>
    <t>CUST_0307</t>
  </si>
  <si>
    <t>CUST_0308</t>
  </si>
  <si>
    <t>CUST_0309</t>
  </si>
  <si>
    <t>CUST_0310</t>
  </si>
  <si>
    <t>CUST_0311</t>
  </si>
  <si>
    <t>CUST_0312</t>
  </si>
  <si>
    <t>CUST_0313</t>
  </si>
  <si>
    <t>CUST_0314</t>
  </si>
  <si>
    <t>CUST_0315</t>
  </si>
  <si>
    <t>CUST_0316</t>
  </si>
  <si>
    <t>CUST_0317</t>
  </si>
  <si>
    <t>CUST_0318</t>
  </si>
  <si>
    <t>CUST_0319</t>
  </si>
  <si>
    <t>CUST_0320</t>
  </si>
  <si>
    <t>CUST_0321</t>
  </si>
  <si>
    <t>CUST_0322</t>
  </si>
  <si>
    <t>CUST_0323</t>
  </si>
  <si>
    <t>CUST_0324</t>
  </si>
  <si>
    <t>CUST_0325</t>
  </si>
  <si>
    <t>CUST_0326</t>
  </si>
  <si>
    <t>CUST_0327</t>
  </si>
  <si>
    <t>CUST_0328</t>
  </si>
  <si>
    <t>CUST_0329</t>
  </si>
  <si>
    <t>CUST_0330</t>
  </si>
  <si>
    <t>CUST_0331</t>
  </si>
  <si>
    <t>CUST_0332</t>
  </si>
  <si>
    <t>CUST_0333</t>
  </si>
  <si>
    <t>CUST_0334</t>
  </si>
  <si>
    <t>CUST_0335</t>
  </si>
  <si>
    <t>CUST_0336</t>
  </si>
  <si>
    <t>CUST_0337</t>
  </si>
  <si>
    <t>CUST_0338</t>
  </si>
  <si>
    <t>CUST_0339</t>
  </si>
  <si>
    <t>CUST_0340</t>
  </si>
  <si>
    <t>CUST_0341</t>
  </si>
  <si>
    <t>CUST_0342</t>
  </si>
  <si>
    <t>CUST_0343</t>
  </si>
  <si>
    <t>CUST_0344</t>
  </si>
  <si>
    <t>CUST_0345</t>
  </si>
  <si>
    <t>CUST_0346</t>
  </si>
  <si>
    <t>CUST_0347</t>
  </si>
  <si>
    <t>CUST_0348</t>
  </si>
  <si>
    <t>CUST_0349</t>
  </si>
  <si>
    <t>CUST_0350</t>
  </si>
  <si>
    <t>CUST_0351</t>
  </si>
  <si>
    <t>CUST_0352</t>
  </si>
  <si>
    <t>CUST_0353</t>
  </si>
  <si>
    <t>CUST_0354</t>
  </si>
  <si>
    <t>CUST_0355</t>
  </si>
  <si>
    <t>CUST_0356</t>
  </si>
  <si>
    <t>CUST_0357</t>
  </si>
  <si>
    <t>CUST_0358</t>
  </si>
  <si>
    <t>CUST_0359</t>
  </si>
  <si>
    <t>CUST_0360</t>
  </si>
  <si>
    <t>CUST_0361</t>
  </si>
  <si>
    <t>CUST_0362</t>
  </si>
  <si>
    <t>CUST_0363</t>
  </si>
  <si>
    <t>CUST_0364</t>
  </si>
  <si>
    <t>CUST_0365</t>
  </si>
  <si>
    <t>CUST_0366</t>
  </si>
  <si>
    <t>CUST_0367</t>
  </si>
  <si>
    <t>CUST_0368</t>
  </si>
  <si>
    <t>CUST_0369</t>
  </si>
  <si>
    <t>CUST_0370</t>
  </si>
  <si>
    <t>CUST_0371</t>
  </si>
  <si>
    <t>CUST_0372</t>
  </si>
  <si>
    <t>CUST_0373</t>
  </si>
  <si>
    <t>CUST_0374</t>
  </si>
  <si>
    <t>CUST_0375</t>
  </si>
  <si>
    <t>CUST_0376</t>
  </si>
  <si>
    <t>CUST_0377</t>
  </si>
  <si>
    <t>CUST_0378</t>
  </si>
  <si>
    <t>CUST_0379</t>
  </si>
  <si>
    <t>CUST_0380</t>
  </si>
  <si>
    <t>CUST_0381</t>
  </si>
  <si>
    <t>CUST_0382</t>
  </si>
  <si>
    <t>CUST_0383</t>
  </si>
  <si>
    <t>CUST_0384</t>
  </si>
  <si>
    <t>CUST_0385</t>
  </si>
  <si>
    <t>CUST_0386</t>
  </si>
  <si>
    <t>CUST_0387</t>
  </si>
  <si>
    <t>CUST_0388</t>
  </si>
  <si>
    <t>CUST_0389</t>
  </si>
  <si>
    <t>CUST_0390</t>
  </si>
  <si>
    <t>CUST_0391</t>
  </si>
  <si>
    <t>CUST_0392</t>
  </si>
  <si>
    <t>CUST_0393</t>
  </si>
  <si>
    <t>CUST_0394</t>
  </si>
  <si>
    <t>CUST_0395</t>
  </si>
  <si>
    <t>CUST_0396</t>
  </si>
  <si>
    <t>CUST_0397</t>
  </si>
  <si>
    <t>CUST_0398</t>
  </si>
  <si>
    <t>CUST_0399</t>
  </si>
  <si>
    <t>CUST_0400</t>
  </si>
  <si>
    <t>CUST_0401</t>
  </si>
  <si>
    <t>CUST_0402</t>
  </si>
  <si>
    <t>CUST_0403</t>
  </si>
  <si>
    <t>CUST_0404</t>
  </si>
  <si>
    <t>CUST_0405</t>
  </si>
  <si>
    <t>CUST_0406</t>
  </si>
  <si>
    <t>CUST_0407</t>
  </si>
  <si>
    <t>CUST_0408</t>
  </si>
  <si>
    <t>CUST_0409</t>
  </si>
  <si>
    <t>CUST_0410</t>
  </si>
  <si>
    <t>CUST_0411</t>
  </si>
  <si>
    <t>CUST_0412</t>
  </si>
  <si>
    <t>CUST_0413</t>
  </si>
  <si>
    <t>CUST_0414</t>
  </si>
  <si>
    <t>CUST_0415</t>
  </si>
  <si>
    <t>CUST_0416</t>
  </si>
  <si>
    <t>CUST_0417</t>
  </si>
  <si>
    <t>CUST_0418</t>
  </si>
  <si>
    <t>CUST_0419</t>
  </si>
  <si>
    <t>CUST_0420</t>
  </si>
  <si>
    <t>CUST_0421</t>
  </si>
  <si>
    <t>CUST_0422</t>
  </si>
  <si>
    <t>CUST_0423</t>
  </si>
  <si>
    <t>CUST_0424</t>
  </si>
  <si>
    <t>CUST_0425</t>
  </si>
  <si>
    <t>CUST_0426</t>
  </si>
  <si>
    <t>CUST_0427</t>
  </si>
  <si>
    <t>CUST_0428</t>
  </si>
  <si>
    <t>CUST_0429</t>
  </si>
  <si>
    <t>CUST_0430</t>
  </si>
  <si>
    <t>CUST_0431</t>
  </si>
  <si>
    <t>CUST_0432</t>
  </si>
  <si>
    <t>CUST_0433</t>
  </si>
  <si>
    <t>CUST_0434</t>
  </si>
  <si>
    <t>CUST_0435</t>
  </si>
  <si>
    <t>CUST_0436</t>
  </si>
  <si>
    <t>CUST_0437</t>
  </si>
  <si>
    <t>CUST_0438</t>
  </si>
  <si>
    <t>CUST_0439</t>
  </si>
  <si>
    <t>CUST_0440</t>
  </si>
  <si>
    <t>CUST_0441</t>
  </si>
  <si>
    <t>CUST_0442</t>
  </si>
  <si>
    <t>CUST_0443</t>
  </si>
  <si>
    <t>CUST_0444</t>
  </si>
  <si>
    <t>CUST_0445</t>
  </si>
  <si>
    <t>CUST_0446</t>
  </si>
  <si>
    <t>CUST_0447</t>
  </si>
  <si>
    <t>CUST_0448</t>
  </si>
  <si>
    <t>CUST_0449</t>
  </si>
  <si>
    <t>CUST_0450</t>
  </si>
  <si>
    <t>CUST_0451</t>
  </si>
  <si>
    <t>CUST_0452</t>
  </si>
  <si>
    <t>CUST_0453</t>
  </si>
  <si>
    <t>CUST_0454</t>
  </si>
  <si>
    <t>CUST_0455</t>
  </si>
  <si>
    <t>CUST_0456</t>
  </si>
  <si>
    <t>CUST_0457</t>
  </si>
  <si>
    <t>CUST_0458</t>
  </si>
  <si>
    <t>CUST_0459</t>
  </si>
  <si>
    <t>CUST_0460</t>
  </si>
  <si>
    <t>CUST_0461</t>
  </si>
  <si>
    <t>CUST_0462</t>
  </si>
  <si>
    <t>CUST_0463</t>
  </si>
  <si>
    <t>CUST_0464</t>
  </si>
  <si>
    <t>CUST_0465</t>
  </si>
  <si>
    <t>CUST_0466</t>
  </si>
  <si>
    <t>CUST_0467</t>
  </si>
  <si>
    <t>CUST_0468</t>
  </si>
  <si>
    <t>CUST_0469</t>
  </si>
  <si>
    <t>CUST_0470</t>
  </si>
  <si>
    <t>CUST_0471</t>
  </si>
  <si>
    <t>CUST_0472</t>
  </si>
  <si>
    <t>CUST_0473</t>
  </si>
  <si>
    <t>CUST_0474</t>
  </si>
  <si>
    <t>CUST_0475</t>
  </si>
  <si>
    <t>CUST_0476</t>
  </si>
  <si>
    <t>CUST_0477</t>
  </si>
  <si>
    <t>CUST_0478</t>
  </si>
  <si>
    <t>CUST_0479</t>
  </si>
  <si>
    <t>CUST_0480</t>
  </si>
  <si>
    <t>CUST_0481</t>
  </si>
  <si>
    <t>CUST_0482</t>
  </si>
  <si>
    <t>CUST_0483</t>
  </si>
  <si>
    <t>CUST_0484</t>
  </si>
  <si>
    <t>CUST_0485</t>
  </si>
  <si>
    <t>CUST_0486</t>
  </si>
  <si>
    <t>CUST_0487</t>
  </si>
  <si>
    <t>CUST_0488</t>
  </si>
  <si>
    <t>CUST_0489</t>
  </si>
  <si>
    <t>CUST_0490</t>
  </si>
  <si>
    <t>CUST_0491</t>
  </si>
  <si>
    <t>CUST_0492</t>
  </si>
  <si>
    <t>CUST_0493</t>
  </si>
  <si>
    <t>CUST_0494</t>
  </si>
  <si>
    <t>CUST_0495</t>
  </si>
  <si>
    <t>CUST_0496</t>
  </si>
  <si>
    <t>CUST_0497</t>
  </si>
  <si>
    <t>CUST_0498</t>
  </si>
  <si>
    <t>CUST_0499</t>
  </si>
  <si>
    <t>CUST_0500</t>
  </si>
  <si>
    <t>CUST_0501</t>
  </si>
  <si>
    <t>CUST_0502</t>
  </si>
  <si>
    <t>CUST_0503</t>
  </si>
  <si>
    <t>CUST_0504</t>
  </si>
  <si>
    <t>CUST_0505</t>
  </si>
  <si>
    <t>CUST_0506</t>
  </si>
  <si>
    <t>CUST_0507</t>
  </si>
  <si>
    <t>CUST_0508</t>
  </si>
  <si>
    <t>CUST_0509</t>
  </si>
  <si>
    <t>CUST_0510</t>
  </si>
  <si>
    <t>CUST_0511</t>
  </si>
  <si>
    <t>CUST_0512</t>
  </si>
  <si>
    <t>CUST_0513</t>
  </si>
  <si>
    <t>CUST_0514</t>
  </si>
  <si>
    <t>CUST_0515</t>
  </si>
  <si>
    <t>CUST_0516</t>
  </si>
  <si>
    <t>CUST_0517</t>
  </si>
  <si>
    <t>CUST_0518</t>
  </si>
  <si>
    <t>CUST_0519</t>
  </si>
  <si>
    <t>CUST_0520</t>
  </si>
  <si>
    <t>CUST_0521</t>
  </si>
  <si>
    <t>CUST_0522</t>
  </si>
  <si>
    <t>CUST_0523</t>
  </si>
  <si>
    <t>CUST_0524</t>
  </si>
  <si>
    <t>CUST_0525</t>
  </si>
  <si>
    <t>CUST_0526</t>
  </si>
  <si>
    <t>CUST_0527</t>
  </si>
  <si>
    <t>CUST_0528</t>
  </si>
  <si>
    <t>CUST_0529</t>
  </si>
  <si>
    <t>CUST_0530</t>
  </si>
  <si>
    <t>CUST_0531</t>
  </si>
  <si>
    <t>CUST_0532</t>
  </si>
  <si>
    <t>CUST_0533</t>
  </si>
  <si>
    <t>CUST_0534</t>
  </si>
  <si>
    <t>CUST_0535</t>
  </si>
  <si>
    <t>CUST_0536</t>
  </si>
  <si>
    <t>CUST_0537</t>
  </si>
  <si>
    <t>CUST_0538</t>
  </si>
  <si>
    <t>CUST_0539</t>
  </si>
  <si>
    <t>CUST_0540</t>
  </si>
  <si>
    <t>CUST_0541</t>
  </si>
  <si>
    <t>CUST_0542</t>
  </si>
  <si>
    <t>CUST_0543</t>
  </si>
  <si>
    <t>CUST_0544</t>
  </si>
  <si>
    <t>CUST_0545</t>
  </si>
  <si>
    <t>CUST_0546</t>
  </si>
  <si>
    <t>CUST_0547</t>
  </si>
  <si>
    <t>CUST_0548</t>
  </si>
  <si>
    <t>CUST_0549</t>
  </si>
  <si>
    <t>CUST_0550</t>
  </si>
  <si>
    <t>CUST_0551</t>
  </si>
  <si>
    <t>CUST_0552</t>
  </si>
  <si>
    <t>CUST_0553</t>
  </si>
  <si>
    <t>CUST_0554</t>
  </si>
  <si>
    <t>CUST_0555</t>
  </si>
  <si>
    <t>CUST_0556</t>
  </si>
  <si>
    <t>CUST_0557</t>
  </si>
  <si>
    <t>CUST_0558</t>
  </si>
  <si>
    <t>CUST_0559</t>
  </si>
  <si>
    <t>CUST_0560</t>
  </si>
  <si>
    <t>CUST_0561</t>
  </si>
  <si>
    <t>CUST_0562</t>
  </si>
  <si>
    <t>CUST_0563</t>
  </si>
  <si>
    <t>CUST_0564</t>
  </si>
  <si>
    <t>CUST_0565</t>
  </si>
  <si>
    <t>CUST_0566</t>
  </si>
  <si>
    <t>CUST_0567</t>
  </si>
  <si>
    <t>CUST_0568</t>
  </si>
  <si>
    <t>CUST_0569</t>
  </si>
  <si>
    <t>CUST_0570</t>
  </si>
  <si>
    <t>CUST_0571</t>
  </si>
  <si>
    <t>CUST_0572</t>
  </si>
  <si>
    <t>CUST_0573</t>
  </si>
  <si>
    <t>CUST_0574</t>
  </si>
  <si>
    <t>CUST_0575</t>
  </si>
  <si>
    <t>CUST_0576</t>
  </si>
  <si>
    <t>CUST_0577</t>
  </si>
  <si>
    <t>CUST_0578</t>
  </si>
  <si>
    <t>CUST_0579</t>
  </si>
  <si>
    <t>CUST_0580</t>
  </si>
  <si>
    <t>CUST_0581</t>
  </si>
  <si>
    <t>CUST_0582</t>
  </si>
  <si>
    <t>CUST_0583</t>
  </si>
  <si>
    <t>CUST_0584</t>
  </si>
  <si>
    <t>CUST_0585</t>
  </si>
  <si>
    <t>CUST_0586</t>
  </si>
  <si>
    <t>CUST_0587</t>
  </si>
  <si>
    <t>CUST_0588</t>
  </si>
  <si>
    <t>CUST_0589</t>
  </si>
  <si>
    <t>CUST_0590</t>
  </si>
  <si>
    <t>CUST_0591</t>
  </si>
  <si>
    <t>CUST_0592</t>
  </si>
  <si>
    <t>CUST_0593</t>
  </si>
  <si>
    <t>CUST_0594</t>
  </si>
  <si>
    <t>CUST_0595</t>
  </si>
  <si>
    <t>CUST_0596</t>
  </si>
  <si>
    <t>CUST_0597</t>
  </si>
  <si>
    <t>CUST_0598</t>
  </si>
  <si>
    <t>CUST_0599</t>
  </si>
  <si>
    <t>CUST_0600</t>
  </si>
  <si>
    <t>CUST_0601</t>
  </si>
  <si>
    <t>CUST_0602</t>
  </si>
  <si>
    <t>CUST_0603</t>
  </si>
  <si>
    <t>CUST_0604</t>
  </si>
  <si>
    <t>CUST_0605</t>
  </si>
  <si>
    <t>CUST_0606</t>
  </si>
  <si>
    <t>CUST_0607</t>
  </si>
  <si>
    <t>CUST_0608</t>
  </si>
  <si>
    <t>CUST_0609</t>
  </si>
  <si>
    <t>CUST_0610</t>
  </si>
  <si>
    <t>CUST_0611</t>
  </si>
  <si>
    <t>CUST_0612</t>
  </si>
  <si>
    <t>CUST_0613</t>
  </si>
  <si>
    <t>CUST_0614</t>
  </si>
  <si>
    <t>CUST_0615</t>
  </si>
  <si>
    <t>CUST_0616</t>
  </si>
  <si>
    <t>CUST_0617</t>
  </si>
  <si>
    <t>CUST_0618</t>
  </si>
  <si>
    <t>CUST_0619</t>
  </si>
  <si>
    <t>CUST_0620</t>
  </si>
  <si>
    <t>CUST_0621</t>
  </si>
  <si>
    <t>CUST_0622</t>
  </si>
  <si>
    <t>CUST_0623</t>
  </si>
  <si>
    <t>CUST_0624</t>
  </si>
  <si>
    <t>CUST_0625</t>
  </si>
  <si>
    <t>CUST_0626</t>
  </si>
  <si>
    <t>CUST_0627</t>
  </si>
  <si>
    <t>CUST_0628</t>
  </si>
  <si>
    <t>CUST_0629</t>
  </si>
  <si>
    <t>CUST_0630</t>
  </si>
  <si>
    <t>CUST_0631</t>
  </si>
  <si>
    <t>CUST_0632</t>
  </si>
  <si>
    <t>CUST_0633</t>
  </si>
  <si>
    <t>CUST_0634</t>
  </si>
  <si>
    <t>CUST_0635</t>
  </si>
  <si>
    <t>CUST_0636</t>
  </si>
  <si>
    <t>CUST_0637</t>
  </si>
  <si>
    <t>CUST_0638</t>
  </si>
  <si>
    <t>CUST_0639</t>
  </si>
  <si>
    <t>CUST_0640</t>
  </si>
  <si>
    <t>CUST_0641</t>
  </si>
  <si>
    <t>CUST_0642</t>
  </si>
  <si>
    <t>CUST_0643</t>
  </si>
  <si>
    <t>CUST_0644</t>
  </si>
  <si>
    <t>CUST_0645</t>
  </si>
  <si>
    <t>CUST_0646</t>
  </si>
  <si>
    <t>CUST_0647</t>
  </si>
  <si>
    <t>CUST_0648</t>
  </si>
  <si>
    <t>CUST_0649</t>
  </si>
  <si>
    <t>CUST_0650</t>
  </si>
  <si>
    <t>CUST_0651</t>
  </si>
  <si>
    <t>CUST_0652</t>
  </si>
  <si>
    <t>CUST_0653</t>
  </si>
  <si>
    <t>CUST_0654</t>
  </si>
  <si>
    <t>CUST_0655</t>
  </si>
  <si>
    <t>CUST_0656</t>
  </si>
  <si>
    <t>CUST_0657</t>
  </si>
  <si>
    <t>CUST_0658</t>
  </si>
  <si>
    <t>CUST_0659</t>
  </si>
  <si>
    <t>CUST_0660</t>
  </si>
  <si>
    <t>CUST_0661</t>
  </si>
  <si>
    <t>CUST_0662</t>
  </si>
  <si>
    <t>CUST_0663</t>
  </si>
  <si>
    <t>CUST_0664</t>
  </si>
  <si>
    <t>CUST_0665</t>
  </si>
  <si>
    <t>CUST_0666</t>
  </si>
  <si>
    <t>CUST_0667</t>
  </si>
  <si>
    <t>CUST_0668</t>
  </si>
  <si>
    <t>CUST_0669</t>
  </si>
  <si>
    <t>CUST_0670</t>
  </si>
  <si>
    <t>CUST_0671</t>
  </si>
  <si>
    <t>CUST_0672</t>
  </si>
  <si>
    <t>CUST_0673</t>
  </si>
  <si>
    <t>CUST_0674</t>
  </si>
  <si>
    <t>CUST_0675</t>
  </si>
  <si>
    <t>CUST_0676</t>
  </si>
  <si>
    <t>CUST_0677</t>
  </si>
  <si>
    <t>CUST_0678</t>
  </si>
  <si>
    <t>CUST_0679</t>
  </si>
  <si>
    <t>CUST_0680</t>
  </si>
  <si>
    <t>CUST_0681</t>
  </si>
  <si>
    <t>CUST_0682</t>
  </si>
  <si>
    <t>CUST_0683</t>
  </si>
  <si>
    <t>CUST_0684</t>
  </si>
  <si>
    <t>CUST_0685</t>
  </si>
  <si>
    <t>CUST_0686</t>
  </si>
  <si>
    <t>CUST_0687</t>
  </si>
  <si>
    <t>CUST_0688</t>
  </si>
  <si>
    <t>CUST_0689</t>
  </si>
  <si>
    <t>CUST_0690</t>
  </si>
  <si>
    <t>CUST_0691</t>
  </si>
  <si>
    <t>CUST_0692</t>
  </si>
  <si>
    <t>CUST_0693</t>
  </si>
  <si>
    <t>CUST_0694</t>
  </si>
  <si>
    <t>CUST_0695</t>
  </si>
  <si>
    <t>CUST_0696</t>
  </si>
  <si>
    <t>CUST_0697</t>
  </si>
  <si>
    <t>CUST_0698</t>
  </si>
  <si>
    <t>CUST_0699</t>
  </si>
  <si>
    <t>CUST_0700</t>
  </si>
  <si>
    <t>CUST_0701</t>
  </si>
  <si>
    <t>CUST_0702</t>
  </si>
  <si>
    <t>CUST_0703</t>
  </si>
  <si>
    <t>CUST_0704</t>
  </si>
  <si>
    <t>CUST_0705</t>
  </si>
  <si>
    <t>CUST_0706</t>
  </si>
  <si>
    <t>CUST_0707</t>
  </si>
  <si>
    <t>CUST_0708</t>
  </si>
  <si>
    <t>CUST_0709</t>
  </si>
  <si>
    <t>CUST_0710</t>
  </si>
  <si>
    <t>CUST_0711</t>
  </si>
  <si>
    <t>CUST_0712</t>
  </si>
  <si>
    <t>CUST_0713</t>
  </si>
  <si>
    <t>CUST_0714</t>
  </si>
  <si>
    <t>CUST_0715</t>
  </si>
  <si>
    <t>CUST_0716</t>
  </si>
  <si>
    <t>CUST_0717</t>
  </si>
  <si>
    <t>CUST_0718</t>
  </si>
  <si>
    <t>CUST_0719</t>
  </si>
  <si>
    <t>CUST_0720</t>
  </si>
  <si>
    <t>CUST_0721</t>
  </si>
  <si>
    <t>CUST_0722</t>
  </si>
  <si>
    <t>CUST_0723</t>
  </si>
  <si>
    <t>CUST_0724</t>
  </si>
  <si>
    <t>CUST_0725</t>
  </si>
  <si>
    <t>CUST_0726</t>
  </si>
  <si>
    <t>CUST_0727</t>
  </si>
  <si>
    <t>CUST_0728</t>
  </si>
  <si>
    <t>CUST_0729</t>
  </si>
  <si>
    <t>CUST_0730</t>
  </si>
  <si>
    <t>CUST_0731</t>
  </si>
  <si>
    <t>CUST_0732</t>
  </si>
  <si>
    <t>CUST_0733</t>
  </si>
  <si>
    <t>CUST_0734</t>
  </si>
  <si>
    <t>CUST_0735</t>
  </si>
  <si>
    <t>CUST_0736</t>
  </si>
  <si>
    <t>CUST_0737</t>
  </si>
  <si>
    <t>CUST_0738</t>
  </si>
  <si>
    <t>CUST_0739</t>
  </si>
  <si>
    <t>CUST_0740</t>
  </si>
  <si>
    <t>CUST_0741</t>
  </si>
  <si>
    <t>CUST_0742</t>
  </si>
  <si>
    <t>CUST_0743</t>
  </si>
  <si>
    <t>CUST_0744</t>
  </si>
  <si>
    <t>CUST_0745</t>
  </si>
  <si>
    <t>CUST_0746</t>
  </si>
  <si>
    <t>CUST_0747</t>
  </si>
  <si>
    <t>CUST_0748</t>
  </si>
  <si>
    <t>CUST_0749</t>
  </si>
  <si>
    <t>CUST_0750</t>
  </si>
  <si>
    <t>CUST_0751</t>
  </si>
  <si>
    <t>CUST_0752</t>
  </si>
  <si>
    <t>CUST_0753</t>
  </si>
  <si>
    <t>CUST_0754</t>
  </si>
  <si>
    <t>CUST_0755</t>
  </si>
  <si>
    <t>CUST_0756</t>
  </si>
  <si>
    <t>CUST_0757</t>
  </si>
  <si>
    <t>CUST_0758</t>
  </si>
  <si>
    <t>CUST_0759</t>
  </si>
  <si>
    <t>CUST_0760</t>
  </si>
  <si>
    <t>CUST_0761</t>
  </si>
  <si>
    <t>CUST_0762</t>
  </si>
  <si>
    <t>CUST_0763</t>
  </si>
  <si>
    <t>CUST_0764</t>
  </si>
  <si>
    <t>CUST_0765</t>
  </si>
  <si>
    <t>CUST_0766</t>
  </si>
  <si>
    <t>CUST_0767</t>
  </si>
  <si>
    <t>CUST_0768</t>
  </si>
  <si>
    <t>CUST_0769</t>
  </si>
  <si>
    <t>CUST_0770</t>
  </si>
  <si>
    <t>CUST_0771</t>
  </si>
  <si>
    <t>CUST_0772</t>
  </si>
  <si>
    <t>CUST_0773</t>
  </si>
  <si>
    <t>CUST_0774</t>
  </si>
  <si>
    <t>CUST_0775</t>
  </si>
  <si>
    <t>CUST_0776</t>
  </si>
  <si>
    <t>CUST_0777</t>
  </si>
  <si>
    <t>CUST_0778</t>
  </si>
  <si>
    <t>CUST_0779</t>
  </si>
  <si>
    <t>CUST_0780</t>
  </si>
  <si>
    <t>CUST_0781</t>
  </si>
  <si>
    <t>CUST_0782</t>
  </si>
  <si>
    <t>CUST_0783</t>
  </si>
  <si>
    <t>CUST_0784</t>
  </si>
  <si>
    <t>CUST_0785</t>
  </si>
  <si>
    <t>CUST_0786</t>
  </si>
  <si>
    <t>CUST_0787</t>
  </si>
  <si>
    <t>CUST_0788</t>
  </si>
  <si>
    <t>CUST_0789</t>
  </si>
  <si>
    <t>CUST_0790</t>
  </si>
  <si>
    <t>CUST_0791</t>
  </si>
  <si>
    <t>CUST_0792</t>
  </si>
  <si>
    <t>CUST_0793</t>
  </si>
  <si>
    <t>CUST_0794</t>
  </si>
  <si>
    <t>CUST_0795</t>
  </si>
  <si>
    <t>CUST_0796</t>
  </si>
  <si>
    <t>CUST_0797</t>
  </si>
  <si>
    <t>CUST_0798</t>
  </si>
  <si>
    <t>CUST_0799</t>
  </si>
  <si>
    <t>CUST_0800</t>
  </si>
  <si>
    <t>TotalRevenue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</si>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</sst>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1"/>
  <sheetViews>
    <sheetView tabSelected="1" topLeftCell="B783" workbookViewId="0">
      <selection activeCell="S790" sqref="S790"/>
    </sheetView>
  </sheetViews>
  <sheetFormatPr defaultRowHeight="15" x14ac:dyDescent="0.25"/>
  <cols>
    <col min="1" max="1" width="11.42578125" bestFit="1" customWidth="1"/>
    <col min="2" max="2" width="4" bestFit="1" customWidth="1"/>
    <col min="3" max="3" width="6.85546875" bestFit="1" customWidth="1"/>
    <col min="4" max="4" width="8.28515625" bestFit="1" customWidth="1"/>
    <col min="5" max="5" width="10.28515625" style="2" bestFit="1" customWidth="1"/>
    <col min="6" max="6" width="13.42578125" bestFit="1" customWidth="1"/>
    <col min="7" max="7" width="10.7109375" bestFit="1" customWidth="1"/>
    <col min="8" max="8" width="11.28515625" bestFit="1" customWidth="1"/>
    <col min="9" max="9" width="18.140625" bestFit="1" customWidth="1"/>
    <col min="10" max="10" width="11.42578125" bestFit="1" customWidth="1"/>
    <col min="11" max="11" width="10.7109375" bestFit="1" customWidth="1"/>
    <col min="12" max="12" width="16.140625" bestFit="1" customWidth="1"/>
    <col min="13" max="13" width="25.140625" bestFit="1" customWidth="1"/>
    <col min="14" max="14" width="16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834</v>
      </c>
      <c r="P1" s="1" t="s">
        <v>835</v>
      </c>
    </row>
    <row r="2" spans="1:16" x14ac:dyDescent="0.25">
      <c r="A2" t="s">
        <v>14</v>
      </c>
      <c r="B2">
        <v>56</v>
      </c>
      <c r="C2" t="s">
        <v>15</v>
      </c>
      <c r="D2" t="s">
        <v>16</v>
      </c>
      <c r="E2" s="2">
        <v>45816</v>
      </c>
      <c r="F2" t="s">
        <v>17</v>
      </c>
      <c r="G2">
        <v>200</v>
      </c>
      <c r="H2">
        <v>2</v>
      </c>
      <c r="I2">
        <v>35.5</v>
      </c>
      <c r="J2">
        <v>4.9400000000000004</v>
      </c>
      <c r="K2" t="s">
        <v>18</v>
      </c>
      <c r="L2">
        <v>10</v>
      </c>
      <c r="M2">
        <v>8</v>
      </c>
      <c r="N2" t="s">
        <v>19</v>
      </c>
      <c r="O2">
        <f>(G2*H2)+I2+J2</f>
        <v>440.44</v>
      </c>
      <c r="P2" t="str">
        <f>TEXT(E2, "mmmm")</f>
        <v>June</v>
      </c>
    </row>
    <row r="3" spans="1:16" x14ac:dyDescent="0.25">
      <c r="A3" t="s">
        <v>20</v>
      </c>
      <c r="B3">
        <v>69</v>
      </c>
      <c r="C3" t="s">
        <v>21</v>
      </c>
      <c r="D3" t="s">
        <v>22</v>
      </c>
      <c r="E3" s="2">
        <v>45757</v>
      </c>
      <c r="F3" t="s">
        <v>23</v>
      </c>
      <c r="G3">
        <v>150</v>
      </c>
      <c r="H3">
        <v>4</v>
      </c>
      <c r="I3">
        <v>96.09</v>
      </c>
      <c r="J3">
        <v>8.3699999999999992</v>
      </c>
      <c r="K3" t="s">
        <v>24</v>
      </c>
      <c r="L3">
        <v>7.9</v>
      </c>
      <c r="M3">
        <v>10</v>
      </c>
      <c r="N3" t="s">
        <v>25</v>
      </c>
      <c r="O3">
        <f t="shared" ref="O3:O66" si="0">(G3*H3)+I3+J3</f>
        <v>704.46</v>
      </c>
      <c r="P3" t="str">
        <f t="shared" ref="P3:P66" si="1">TEXT(E3, "mmmm")</f>
        <v>April</v>
      </c>
    </row>
    <row r="4" spans="1:16" x14ac:dyDescent="0.25">
      <c r="A4" t="s">
        <v>26</v>
      </c>
      <c r="B4">
        <v>46</v>
      </c>
      <c r="C4" t="s">
        <v>21</v>
      </c>
      <c r="D4" t="s">
        <v>27</v>
      </c>
      <c r="E4" s="2">
        <v>45758</v>
      </c>
      <c r="F4" t="s">
        <v>23</v>
      </c>
      <c r="G4">
        <v>150</v>
      </c>
      <c r="H4">
        <v>2</v>
      </c>
      <c r="I4">
        <v>37.049999999999997</v>
      </c>
      <c r="J4">
        <v>0.38</v>
      </c>
      <c r="K4" t="s">
        <v>18</v>
      </c>
      <c r="L4">
        <v>8.3000000000000007</v>
      </c>
      <c r="M4">
        <v>10</v>
      </c>
      <c r="N4" t="s">
        <v>19</v>
      </c>
      <c r="O4">
        <f t="shared" si="0"/>
        <v>337.43</v>
      </c>
      <c r="P4" t="str">
        <f t="shared" si="1"/>
        <v>April</v>
      </c>
    </row>
    <row r="5" spans="1:16" x14ac:dyDescent="0.25">
      <c r="A5" t="s">
        <v>28</v>
      </c>
      <c r="B5">
        <v>32</v>
      </c>
      <c r="C5" t="s">
        <v>15</v>
      </c>
      <c r="D5" t="s">
        <v>22</v>
      </c>
      <c r="E5" s="2">
        <v>45697</v>
      </c>
      <c r="F5" t="s">
        <v>29</v>
      </c>
      <c r="G5">
        <v>100</v>
      </c>
      <c r="H5">
        <v>4</v>
      </c>
      <c r="I5">
        <v>34.22</v>
      </c>
      <c r="J5">
        <v>16.79</v>
      </c>
      <c r="K5" t="s">
        <v>18</v>
      </c>
      <c r="L5">
        <v>7.3</v>
      </c>
      <c r="M5">
        <v>8</v>
      </c>
      <c r="N5" t="s">
        <v>30</v>
      </c>
      <c r="O5">
        <f t="shared" si="0"/>
        <v>451.01000000000005</v>
      </c>
      <c r="P5" t="str">
        <f t="shared" si="1"/>
        <v>February</v>
      </c>
    </row>
    <row r="6" spans="1:16" x14ac:dyDescent="0.25">
      <c r="A6" t="s">
        <v>31</v>
      </c>
      <c r="B6">
        <v>60</v>
      </c>
      <c r="C6" t="s">
        <v>15</v>
      </c>
      <c r="D6" t="s">
        <v>27</v>
      </c>
      <c r="E6" s="2">
        <v>45708</v>
      </c>
      <c r="F6" t="s">
        <v>29</v>
      </c>
      <c r="G6">
        <v>100</v>
      </c>
      <c r="H6">
        <v>1</v>
      </c>
      <c r="I6">
        <v>63.07</v>
      </c>
      <c r="J6">
        <v>38.770000000000003</v>
      </c>
      <c r="K6" t="s">
        <v>24</v>
      </c>
      <c r="L6">
        <v>8.1999999999999993</v>
      </c>
      <c r="M6">
        <v>8</v>
      </c>
      <c r="N6" t="s">
        <v>25</v>
      </c>
      <c r="O6">
        <f t="shared" si="0"/>
        <v>201.84</v>
      </c>
      <c r="P6" t="str">
        <f t="shared" si="1"/>
        <v>February</v>
      </c>
    </row>
    <row r="7" spans="1:16" x14ac:dyDescent="0.25">
      <c r="A7" t="s">
        <v>32</v>
      </c>
      <c r="B7">
        <v>25</v>
      </c>
      <c r="C7" t="s">
        <v>21</v>
      </c>
      <c r="D7" t="s">
        <v>33</v>
      </c>
      <c r="E7" s="2">
        <v>45865</v>
      </c>
      <c r="F7" t="s">
        <v>23</v>
      </c>
      <c r="G7">
        <v>150</v>
      </c>
      <c r="H7">
        <v>3</v>
      </c>
      <c r="I7">
        <v>34.56</v>
      </c>
      <c r="J7">
        <v>17.37</v>
      </c>
      <c r="K7" t="s">
        <v>18</v>
      </c>
      <c r="L7">
        <v>8.1999999999999993</v>
      </c>
      <c r="M7">
        <v>8</v>
      </c>
      <c r="N7" t="s">
        <v>34</v>
      </c>
      <c r="O7">
        <f t="shared" si="0"/>
        <v>501.93</v>
      </c>
      <c r="P7" t="str">
        <f t="shared" si="1"/>
        <v>July</v>
      </c>
    </row>
    <row r="8" spans="1:16" x14ac:dyDescent="0.25">
      <c r="A8" t="s">
        <v>35</v>
      </c>
      <c r="B8">
        <v>38</v>
      </c>
      <c r="C8" t="s">
        <v>21</v>
      </c>
      <c r="D8" t="s">
        <v>36</v>
      </c>
      <c r="E8" s="2">
        <v>45839</v>
      </c>
      <c r="F8" t="s">
        <v>17</v>
      </c>
      <c r="G8">
        <v>200</v>
      </c>
      <c r="H8">
        <v>2</v>
      </c>
      <c r="I8">
        <v>6.81</v>
      </c>
      <c r="J8">
        <v>20</v>
      </c>
      <c r="K8" t="s">
        <v>24</v>
      </c>
      <c r="L8">
        <v>9.4</v>
      </c>
      <c r="M8">
        <v>8</v>
      </c>
      <c r="N8" t="s">
        <v>30</v>
      </c>
      <c r="O8">
        <f t="shared" si="0"/>
        <v>426.81</v>
      </c>
      <c r="P8" t="str">
        <f t="shared" si="1"/>
        <v>July</v>
      </c>
    </row>
    <row r="9" spans="1:16" x14ac:dyDescent="0.25">
      <c r="A9" t="s">
        <v>37</v>
      </c>
      <c r="B9">
        <v>56</v>
      </c>
      <c r="C9" t="s">
        <v>38</v>
      </c>
      <c r="D9" t="s">
        <v>33</v>
      </c>
      <c r="E9" s="2">
        <v>45822</v>
      </c>
      <c r="F9" t="s">
        <v>17</v>
      </c>
      <c r="G9">
        <v>200</v>
      </c>
      <c r="H9">
        <v>2</v>
      </c>
      <c r="I9">
        <v>71.64</v>
      </c>
      <c r="J9">
        <v>46.159499999999987</v>
      </c>
      <c r="K9" t="s">
        <v>18</v>
      </c>
      <c r="L9">
        <v>8.1</v>
      </c>
      <c r="M9">
        <v>10</v>
      </c>
      <c r="N9" t="s">
        <v>19</v>
      </c>
      <c r="O9">
        <f t="shared" si="0"/>
        <v>517.79949999999997</v>
      </c>
      <c r="P9" t="str">
        <f t="shared" si="1"/>
        <v>June</v>
      </c>
    </row>
    <row r="10" spans="1:16" x14ac:dyDescent="0.25">
      <c r="A10" t="s">
        <v>39</v>
      </c>
      <c r="B10">
        <v>36</v>
      </c>
      <c r="C10" t="s">
        <v>15</v>
      </c>
      <c r="D10" t="s">
        <v>40</v>
      </c>
      <c r="E10" s="2">
        <v>45686</v>
      </c>
      <c r="F10" t="s">
        <v>41</v>
      </c>
      <c r="G10">
        <v>60</v>
      </c>
      <c r="H10">
        <v>4</v>
      </c>
      <c r="I10">
        <v>87.49</v>
      </c>
      <c r="J10">
        <v>5.0999999999999996</v>
      </c>
      <c r="K10" t="s">
        <v>18</v>
      </c>
      <c r="L10">
        <v>8.1999999999999993</v>
      </c>
      <c r="M10">
        <v>8</v>
      </c>
      <c r="N10" t="s">
        <v>30</v>
      </c>
      <c r="O10">
        <f t="shared" si="0"/>
        <v>332.59000000000003</v>
      </c>
      <c r="P10" t="str">
        <f t="shared" si="1"/>
        <v>January</v>
      </c>
    </row>
    <row r="11" spans="1:16" x14ac:dyDescent="0.25">
      <c r="A11" t="s">
        <v>42</v>
      </c>
      <c r="B11">
        <v>40</v>
      </c>
      <c r="C11" t="s">
        <v>21</v>
      </c>
      <c r="D11" t="s">
        <v>16</v>
      </c>
      <c r="E11" s="2">
        <v>45806</v>
      </c>
      <c r="F11" t="s">
        <v>23</v>
      </c>
      <c r="G11">
        <v>150</v>
      </c>
      <c r="H11">
        <v>4</v>
      </c>
      <c r="I11">
        <v>41.95</v>
      </c>
      <c r="J11">
        <v>38.67</v>
      </c>
      <c r="K11" t="s">
        <v>24</v>
      </c>
      <c r="L11">
        <v>8.8000000000000007</v>
      </c>
      <c r="M11">
        <v>7</v>
      </c>
      <c r="N11" t="s">
        <v>19</v>
      </c>
      <c r="O11">
        <f t="shared" si="0"/>
        <v>680.62</v>
      </c>
      <c r="P11" t="str">
        <f t="shared" si="1"/>
        <v>May</v>
      </c>
    </row>
    <row r="12" spans="1:16" x14ac:dyDescent="0.25">
      <c r="A12" t="s">
        <v>43</v>
      </c>
      <c r="B12">
        <v>28</v>
      </c>
      <c r="C12" t="s">
        <v>15</v>
      </c>
      <c r="D12" t="s">
        <v>27</v>
      </c>
      <c r="E12" s="2">
        <v>45692</v>
      </c>
      <c r="F12" t="s">
        <v>29</v>
      </c>
      <c r="G12">
        <v>100</v>
      </c>
      <c r="H12">
        <v>2</v>
      </c>
      <c r="I12">
        <v>60.59</v>
      </c>
      <c r="J12">
        <v>14.21</v>
      </c>
      <c r="K12" t="s">
        <v>18</v>
      </c>
      <c r="L12">
        <v>9.3000000000000007</v>
      </c>
      <c r="M12">
        <v>4</v>
      </c>
      <c r="N12" t="s">
        <v>34</v>
      </c>
      <c r="O12">
        <f t="shared" si="0"/>
        <v>274.8</v>
      </c>
      <c r="P12" t="str">
        <f t="shared" si="1"/>
        <v>February</v>
      </c>
    </row>
    <row r="13" spans="1:16" x14ac:dyDescent="0.25">
      <c r="A13" t="s">
        <v>44</v>
      </c>
      <c r="B13">
        <v>28</v>
      </c>
      <c r="C13" t="s">
        <v>21</v>
      </c>
      <c r="D13" t="s">
        <v>22</v>
      </c>
      <c r="E13" s="2">
        <v>45870</v>
      </c>
      <c r="F13" t="s">
        <v>41</v>
      </c>
      <c r="G13">
        <v>60</v>
      </c>
      <c r="H13">
        <v>4</v>
      </c>
      <c r="I13">
        <v>38.5</v>
      </c>
      <c r="J13">
        <v>8.39</v>
      </c>
      <c r="K13" t="s">
        <v>24</v>
      </c>
      <c r="L13">
        <v>6.5</v>
      </c>
      <c r="M13">
        <v>7</v>
      </c>
      <c r="N13" t="s">
        <v>34</v>
      </c>
      <c r="O13">
        <f t="shared" si="0"/>
        <v>286.89</v>
      </c>
      <c r="P13" t="str">
        <f t="shared" si="1"/>
        <v>August</v>
      </c>
    </row>
    <row r="14" spans="1:16" x14ac:dyDescent="0.25">
      <c r="A14" t="s">
        <v>45</v>
      </c>
      <c r="B14">
        <v>41</v>
      </c>
      <c r="C14" t="s">
        <v>21</v>
      </c>
      <c r="D14" t="s">
        <v>36</v>
      </c>
      <c r="E14" s="2">
        <v>45835</v>
      </c>
      <c r="F14" t="s">
        <v>29</v>
      </c>
      <c r="G14">
        <v>100</v>
      </c>
      <c r="H14">
        <v>2</v>
      </c>
      <c r="I14">
        <v>55.28</v>
      </c>
      <c r="J14">
        <v>21.44</v>
      </c>
      <c r="K14" t="s">
        <v>18</v>
      </c>
      <c r="L14">
        <v>6.1</v>
      </c>
      <c r="M14">
        <v>6</v>
      </c>
      <c r="N14" t="s">
        <v>19</v>
      </c>
      <c r="O14">
        <f t="shared" si="0"/>
        <v>276.72000000000003</v>
      </c>
      <c r="P14" t="str">
        <f t="shared" si="1"/>
        <v>June</v>
      </c>
    </row>
    <row r="15" spans="1:16" x14ac:dyDescent="0.25">
      <c r="A15" t="s">
        <v>46</v>
      </c>
      <c r="B15">
        <v>53</v>
      </c>
      <c r="C15" t="s">
        <v>15</v>
      </c>
      <c r="D15" t="s">
        <v>27</v>
      </c>
      <c r="E15" s="2">
        <v>45842</v>
      </c>
      <c r="F15" t="s">
        <v>41</v>
      </c>
      <c r="G15">
        <v>60</v>
      </c>
      <c r="H15">
        <v>2</v>
      </c>
      <c r="I15">
        <v>22.64</v>
      </c>
      <c r="J15">
        <v>9.86</v>
      </c>
      <c r="K15" t="s">
        <v>18</v>
      </c>
      <c r="L15">
        <v>10</v>
      </c>
      <c r="M15">
        <v>8</v>
      </c>
      <c r="N15" t="s">
        <v>19</v>
      </c>
      <c r="O15">
        <f t="shared" si="0"/>
        <v>152.5</v>
      </c>
      <c r="P15" t="str">
        <f t="shared" si="1"/>
        <v>July</v>
      </c>
    </row>
    <row r="16" spans="1:16" x14ac:dyDescent="0.25">
      <c r="A16" t="s">
        <v>47</v>
      </c>
      <c r="B16">
        <v>57</v>
      </c>
      <c r="C16" t="s">
        <v>15</v>
      </c>
      <c r="D16" t="s">
        <v>22</v>
      </c>
      <c r="E16" s="2">
        <v>45833</v>
      </c>
      <c r="F16" t="s">
        <v>23</v>
      </c>
      <c r="G16">
        <v>150</v>
      </c>
      <c r="H16">
        <v>2</v>
      </c>
      <c r="I16">
        <v>137.36850000000001</v>
      </c>
      <c r="J16">
        <v>10.49</v>
      </c>
      <c r="K16" t="s">
        <v>24</v>
      </c>
      <c r="L16">
        <v>9.1</v>
      </c>
      <c r="M16">
        <v>6</v>
      </c>
      <c r="N16" t="s">
        <v>19</v>
      </c>
      <c r="O16">
        <f t="shared" si="0"/>
        <v>447.85850000000005</v>
      </c>
      <c r="P16" t="str">
        <f t="shared" si="1"/>
        <v>June</v>
      </c>
    </row>
    <row r="17" spans="1:16" x14ac:dyDescent="0.25">
      <c r="A17" t="s">
        <v>48</v>
      </c>
      <c r="B17">
        <v>41</v>
      </c>
      <c r="C17" t="s">
        <v>15</v>
      </c>
      <c r="D17" t="s">
        <v>16</v>
      </c>
      <c r="E17" s="2">
        <v>45856</v>
      </c>
      <c r="F17" t="s">
        <v>41</v>
      </c>
      <c r="G17">
        <v>60</v>
      </c>
      <c r="H17">
        <v>1</v>
      </c>
      <c r="I17">
        <v>137.36850000000001</v>
      </c>
      <c r="J17">
        <v>31.23</v>
      </c>
      <c r="K17" t="s">
        <v>18</v>
      </c>
      <c r="L17">
        <v>7.7</v>
      </c>
      <c r="M17">
        <v>9</v>
      </c>
      <c r="N17" t="s">
        <v>19</v>
      </c>
      <c r="O17">
        <f t="shared" si="0"/>
        <v>228.5985</v>
      </c>
      <c r="P17" t="str">
        <f t="shared" si="1"/>
        <v>July</v>
      </c>
    </row>
    <row r="18" spans="1:16" x14ac:dyDescent="0.25">
      <c r="A18" t="s">
        <v>49</v>
      </c>
      <c r="B18">
        <v>20</v>
      </c>
      <c r="C18" t="s">
        <v>15</v>
      </c>
      <c r="D18" t="s">
        <v>33</v>
      </c>
      <c r="E18" s="2">
        <v>45846</v>
      </c>
      <c r="F18" t="s">
        <v>17</v>
      </c>
      <c r="G18">
        <v>200</v>
      </c>
      <c r="H18">
        <v>4</v>
      </c>
      <c r="I18">
        <v>19.63</v>
      </c>
      <c r="J18">
        <v>34.44</v>
      </c>
      <c r="K18" t="s">
        <v>24</v>
      </c>
      <c r="L18">
        <v>8</v>
      </c>
      <c r="M18">
        <v>10</v>
      </c>
      <c r="N18" t="s">
        <v>34</v>
      </c>
      <c r="O18">
        <f t="shared" si="0"/>
        <v>854.06999999999994</v>
      </c>
      <c r="P18" t="str">
        <f t="shared" si="1"/>
        <v>July</v>
      </c>
    </row>
    <row r="19" spans="1:16" x14ac:dyDescent="0.25">
      <c r="A19" t="s">
        <v>50</v>
      </c>
      <c r="B19">
        <v>39</v>
      </c>
      <c r="C19" t="s">
        <v>15</v>
      </c>
      <c r="D19" t="s">
        <v>16</v>
      </c>
      <c r="E19" s="2">
        <v>45659</v>
      </c>
      <c r="F19" t="s">
        <v>17</v>
      </c>
      <c r="G19">
        <v>200</v>
      </c>
      <c r="H19">
        <v>3</v>
      </c>
      <c r="I19">
        <v>48.16</v>
      </c>
      <c r="J19">
        <v>17.11</v>
      </c>
      <c r="K19" t="s">
        <v>18</v>
      </c>
      <c r="L19">
        <v>7.4</v>
      </c>
      <c r="M19">
        <v>8</v>
      </c>
      <c r="N19" t="s">
        <v>30</v>
      </c>
      <c r="O19">
        <f t="shared" si="0"/>
        <v>665.27</v>
      </c>
      <c r="P19" t="str">
        <f t="shared" si="1"/>
        <v>January</v>
      </c>
    </row>
    <row r="20" spans="1:16" x14ac:dyDescent="0.25">
      <c r="A20" t="s">
        <v>51</v>
      </c>
      <c r="B20">
        <v>19</v>
      </c>
      <c r="C20" t="s">
        <v>21</v>
      </c>
      <c r="D20" t="s">
        <v>52</v>
      </c>
      <c r="E20" s="2">
        <v>45679</v>
      </c>
      <c r="F20" t="s">
        <v>29</v>
      </c>
      <c r="G20">
        <v>100</v>
      </c>
      <c r="H20">
        <v>3</v>
      </c>
      <c r="I20">
        <v>57.6</v>
      </c>
      <c r="J20">
        <v>46.159499999999987</v>
      </c>
      <c r="K20" t="s">
        <v>18</v>
      </c>
      <c r="L20">
        <v>8.3000000000000007</v>
      </c>
      <c r="M20">
        <v>7</v>
      </c>
      <c r="N20" t="s">
        <v>34</v>
      </c>
      <c r="O20">
        <f t="shared" si="0"/>
        <v>403.7595</v>
      </c>
      <c r="P20" t="str">
        <f t="shared" si="1"/>
        <v>January</v>
      </c>
    </row>
    <row r="21" spans="1:16" x14ac:dyDescent="0.25">
      <c r="A21" t="s">
        <v>53</v>
      </c>
      <c r="B21">
        <v>41</v>
      </c>
      <c r="C21" t="s">
        <v>21</v>
      </c>
      <c r="D21" t="s">
        <v>40</v>
      </c>
      <c r="E21" s="2">
        <v>45875</v>
      </c>
      <c r="F21" t="s">
        <v>41</v>
      </c>
      <c r="G21">
        <v>60</v>
      </c>
      <c r="H21">
        <v>4</v>
      </c>
      <c r="I21">
        <v>59.44</v>
      </c>
      <c r="J21">
        <v>11.69</v>
      </c>
      <c r="K21" t="s">
        <v>18</v>
      </c>
      <c r="L21">
        <v>6.5</v>
      </c>
      <c r="M21">
        <v>8</v>
      </c>
      <c r="N21" t="s">
        <v>19</v>
      </c>
      <c r="O21">
        <f t="shared" si="0"/>
        <v>311.13</v>
      </c>
      <c r="P21" t="str">
        <f t="shared" si="1"/>
        <v>August</v>
      </c>
    </row>
    <row r="22" spans="1:16" x14ac:dyDescent="0.25">
      <c r="A22" t="s">
        <v>54</v>
      </c>
      <c r="B22">
        <v>61</v>
      </c>
      <c r="C22" t="s">
        <v>21</v>
      </c>
      <c r="D22" t="s">
        <v>52</v>
      </c>
      <c r="E22" s="2">
        <v>45707</v>
      </c>
      <c r="F22" t="s">
        <v>41</v>
      </c>
      <c r="G22">
        <v>60</v>
      </c>
      <c r="H22">
        <v>2</v>
      </c>
      <c r="I22">
        <v>97.61</v>
      </c>
      <c r="J22">
        <v>46.159499999999987</v>
      </c>
      <c r="K22" t="s">
        <v>24</v>
      </c>
      <c r="L22">
        <v>9.3000000000000007</v>
      </c>
      <c r="M22">
        <v>10</v>
      </c>
      <c r="N22" t="s">
        <v>25</v>
      </c>
      <c r="O22">
        <f t="shared" si="0"/>
        <v>263.76949999999999</v>
      </c>
      <c r="P22" t="str">
        <f t="shared" si="1"/>
        <v>February</v>
      </c>
    </row>
    <row r="23" spans="1:16" x14ac:dyDescent="0.25">
      <c r="A23" t="s">
        <v>55</v>
      </c>
      <c r="B23">
        <v>47</v>
      </c>
      <c r="C23" t="s">
        <v>38</v>
      </c>
      <c r="D23" t="s">
        <v>36</v>
      </c>
      <c r="E23" s="2">
        <v>45825</v>
      </c>
      <c r="F23" t="s">
        <v>17</v>
      </c>
      <c r="G23">
        <v>200</v>
      </c>
      <c r="H23">
        <v>3</v>
      </c>
      <c r="I23">
        <v>31.27</v>
      </c>
      <c r="J23">
        <v>42.89</v>
      </c>
      <c r="K23" t="s">
        <v>18</v>
      </c>
      <c r="L23">
        <v>8.3000000000000007</v>
      </c>
      <c r="M23">
        <v>10</v>
      </c>
      <c r="N23" t="s">
        <v>19</v>
      </c>
      <c r="O23">
        <f t="shared" si="0"/>
        <v>674.16</v>
      </c>
      <c r="P23" t="str">
        <f t="shared" si="1"/>
        <v>June</v>
      </c>
    </row>
    <row r="24" spans="1:16" x14ac:dyDescent="0.25">
      <c r="A24" t="s">
        <v>56</v>
      </c>
      <c r="B24">
        <v>55</v>
      </c>
      <c r="C24" t="s">
        <v>21</v>
      </c>
      <c r="D24" t="s">
        <v>27</v>
      </c>
      <c r="E24" s="2">
        <v>45769</v>
      </c>
      <c r="F24" t="s">
        <v>23</v>
      </c>
      <c r="G24">
        <v>150</v>
      </c>
      <c r="H24">
        <v>3</v>
      </c>
      <c r="I24">
        <v>68.39</v>
      </c>
      <c r="J24">
        <v>41.68</v>
      </c>
      <c r="K24" t="s">
        <v>18</v>
      </c>
      <c r="L24">
        <v>8.3000000000000007</v>
      </c>
      <c r="M24">
        <v>6</v>
      </c>
      <c r="N24" t="s">
        <v>19</v>
      </c>
      <c r="O24">
        <f t="shared" si="0"/>
        <v>560.06999999999994</v>
      </c>
      <c r="P24" t="str">
        <f t="shared" si="1"/>
        <v>April</v>
      </c>
    </row>
    <row r="25" spans="1:16" x14ac:dyDescent="0.25">
      <c r="A25" t="s">
        <v>57</v>
      </c>
      <c r="B25">
        <v>19</v>
      </c>
      <c r="C25" t="s">
        <v>21</v>
      </c>
      <c r="D25" t="s">
        <v>36</v>
      </c>
      <c r="E25" s="2">
        <v>45813</v>
      </c>
      <c r="F25" t="s">
        <v>41</v>
      </c>
      <c r="G25">
        <v>60</v>
      </c>
      <c r="H25">
        <v>4</v>
      </c>
      <c r="I25">
        <v>43.24</v>
      </c>
      <c r="J25">
        <v>27.79</v>
      </c>
      <c r="K25" t="s">
        <v>24</v>
      </c>
      <c r="L25">
        <v>6.7</v>
      </c>
      <c r="M25">
        <v>6</v>
      </c>
      <c r="N25" t="s">
        <v>34</v>
      </c>
      <c r="O25">
        <f t="shared" si="0"/>
        <v>311.03000000000003</v>
      </c>
      <c r="P25" t="str">
        <f t="shared" si="1"/>
        <v>June</v>
      </c>
    </row>
    <row r="26" spans="1:16" x14ac:dyDescent="0.25">
      <c r="A26" t="s">
        <v>58</v>
      </c>
      <c r="B26">
        <v>38</v>
      </c>
      <c r="C26" t="s">
        <v>21</v>
      </c>
      <c r="D26" t="s">
        <v>33</v>
      </c>
      <c r="E26" s="2">
        <v>45747</v>
      </c>
      <c r="F26" t="s">
        <v>23</v>
      </c>
      <c r="G26">
        <v>150</v>
      </c>
      <c r="H26">
        <v>3</v>
      </c>
      <c r="I26">
        <v>13.9</v>
      </c>
      <c r="J26">
        <v>24.69</v>
      </c>
      <c r="K26" t="s">
        <v>24</v>
      </c>
      <c r="L26">
        <v>8.8000000000000007</v>
      </c>
      <c r="M26">
        <v>6</v>
      </c>
      <c r="N26" t="s">
        <v>30</v>
      </c>
      <c r="O26">
        <f t="shared" si="0"/>
        <v>488.59</v>
      </c>
      <c r="P26" t="str">
        <f t="shared" si="1"/>
        <v>March</v>
      </c>
    </row>
    <row r="27" spans="1:16" x14ac:dyDescent="0.25">
      <c r="A27" t="s">
        <v>59</v>
      </c>
      <c r="B27">
        <v>50</v>
      </c>
      <c r="C27" t="s">
        <v>15</v>
      </c>
      <c r="D27" t="s">
        <v>22</v>
      </c>
      <c r="E27" s="2">
        <v>45757</v>
      </c>
      <c r="F27" t="s">
        <v>41</v>
      </c>
      <c r="G27">
        <v>60</v>
      </c>
      <c r="H27">
        <v>2</v>
      </c>
      <c r="I27">
        <v>81.34</v>
      </c>
      <c r="J27">
        <v>20.07</v>
      </c>
      <c r="K27" t="s">
        <v>18</v>
      </c>
      <c r="L27">
        <v>6.7</v>
      </c>
      <c r="M27">
        <v>6</v>
      </c>
      <c r="N27" t="s">
        <v>19</v>
      </c>
      <c r="O27">
        <f t="shared" si="0"/>
        <v>221.41</v>
      </c>
      <c r="P27" t="str">
        <f t="shared" si="1"/>
        <v>April</v>
      </c>
    </row>
    <row r="28" spans="1:16" x14ac:dyDescent="0.25">
      <c r="A28" t="s">
        <v>60</v>
      </c>
      <c r="B28">
        <v>29</v>
      </c>
      <c r="C28" t="s">
        <v>15</v>
      </c>
      <c r="D28" t="s">
        <v>16</v>
      </c>
      <c r="E28" s="2">
        <v>45674</v>
      </c>
      <c r="F28" t="s">
        <v>41</v>
      </c>
      <c r="G28">
        <v>60</v>
      </c>
      <c r="H28">
        <v>4</v>
      </c>
      <c r="I28">
        <v>47.91</v>
      </c>
      <c r="J28">
        <v>39.33</v>
      </c>
      <c r="K28" t="s">
        <v>18</v>
      </c>
      <c r="L28">
        <v>7</v>
      </c>
      <c r="M28">
        <v>8</v>
      </c>
      <c r="N28" t="s">
        <v>34</v>
      </c>
      <c r="O28">
        <f t="shared" si="0"/>
        <v>327.23999999999995</v>
      </c>
      <c r="P28" t="str">
        <f t="shared" si="1"/>
        <v>January</v>
      </c>
    </row>
    <row r="29" spans="1:16" x14ac:dyDescent="0.25">
      <c r="A29" t="s">
        <v>61</v>
      </c>
      <c r="B29">
        <v>39</v>
      </c>
      <c r="C29" t="s">
        <v>15</v>
      </c>
      <c r="D29" t="s">
        <v>52</v>
      </c>
      <c r="E29" s="2">
        <v>45671</v>
      </c>
      <c r="F29" t="s">
        <v>29</v>
      </c>
      <c r="G29">
        <v>100</v>
      </c>
      <c r="H29">
        <v>2</v>
      </c>
      <c r="I29">
        <v>41.27</v>
      </c>
      <c r="J29">
        <v>36.130000000000003</v>
      </c>
      <c r="K29" t="s">
        <v>18</v>
      </c>
      <c r="L29">
        <v>8.1</v>
      </c>
      <c r="M29">
        <v>7</v>
      </c>
      <c r="N29" t="s">
        <v>30</v>
      </c>
      <c r="O29">
        <f t="shared" si="0"/>
        <v>277.40000000000003</v>
      </c>
      <c r="P29" t="str">
        <f t="shared" si="1"/>
        <v>January</v>
      </c>
    </row>
    <row r="30" spans="1:16" x14ac:dyDescent="0.25">
      <c r="A30" t="s">
        <v>62</v>
      </c>
      <c r="B30">
        <v>61</v>
      </c>
      <c r="C30" t="s">
        <v>15</v>
      </c>
      <c r="D30" t="s">
        <v>52</v>
      </c>
      <c r="E30" s="2">
        <v>45730</v>
      </c>
      <c r="F30" t="s">
        <v>23</v>
      </c>
      <c r="G30">
        <v>150</v>
      </c>
      <c r="H30">
        <v>3</v>
      </c>
      <c r="I30">
        <v>45.78</v>
      </c>
      <c r="J30">
        <v>22.67</v>
      </c>
      <c r="K30" t="s">
        <v>18</v>
      </c>
      <c r="L30">
        <v>10</v>
      </c>
      <c r="M30">
        <v>7</v>
      </c>
      <c r="N30" t="s">
        <v>25</v>
      </c>
      <c r="O30">
        <f t="shared" si="0"/>
        <v>518.44999999999993</v>
      </c>
      <c r="P30" t="str">
        <f t="shared" si="1"/>
        <v>March</v>
      </c>
    </row>
    <row r="31" spans="1:16" x14ac:dyDescent="0.25">
      <c r="A31" t="s">
        <v>63</v>
      </c>
      <c r="B31">
        <v>42</v>
      </c>
      <c r="C31" t="s">
        <v>15</v>
      </c>
      <c r="D31" t="s">
        <v>33</v>
      </c>
      <c r="E31" s="2">
        <v>45717</v>
      </c>
      <c r="F31" t="s">
        <v>29</v>
      </c>
      <c r="G31">
        <v>100</v>
      </c>
      <c r="H31">
        <v>3</v>
      </c>
      <c r="I31">
        <v>82.47</v>
      </c>
      <c r="J31">
        <v>11.66</v>
      </c>
      <c r="K31" t="s">
        <v>18</v>
      </c>
      <c r="L31">
        <v>8.3000000000000007</v>
      </c>
      <c r="M31">
        <v>10</v>
      </c>
      <c r="N31" t="s">
        <v>19</v>
      </c>
      <c r="O31">
        <f t="shared" si="0"/>
        <v>394.13000000000005</v>
      </c>
      <c r="P31" t="str">
        <f t="shared" si="1"/>
        <v>March</v>
      </c>
    </row>
    <row r="32" spans="1:16" x14ac:dyDescent="0.25">
      <c r="A32" t="s">
        <v>64</v>
      </c>
      <c r="B32">
        <v>66</v>
      </c>
      <c r="C32" t="s">
        <v>15</v>
      </c>
      <c r="D32" t="s">
        <v>52</v>
      </c>
      <c r="E32" s="2">
        <v>45900</v>
      </c>
      <c r="F32" t="s">
        <v>23</v>
      </c>
      <c r="G32">
        <v>150</v>
      </c>
      <c r="H32">
        <v>2</v>
      </c>
      <c r="I32">
        <v>26.76</v>
      </c>
      <c r="J32">
        <v>3.76</v>
      </c>
      <c r="K32" t="s">
        <v>18</v>
      </c>
      <c r="L32">
        <v>4.0999999999999996</v>
      </c>
      <c r="M32">
        <v>9</v>
      </c>
      <c r="N32" t="s">
        <v>25</v>
      </c>
      <c r="O32">
        <f t="shared" si="0"/>
        <v>330.52</v>
      </c>
      <c r="P32" t="str">
        <f t="shared" si="1"/>
        <v>August</v>
      </c>
    </row>
    <row r="33" spans="1:16" x14ac:dyDescent="0.25">
      <c r="A33" t="s">
        <v>65</v>
      </c>
      <c r="B33">
        <v>44</v>
      </c>
      <c r="C33" t="s">
        <v>21</v>
      </c>
      <c r="D33" t="s">
        <v>33</v>
      </c>
      <c r="E33" s="2">
        <v>45767</v>
      </c>
      <c r="F33" t="s">
        <v>41</v>
      </c>
      <c r="G33">
        <v>60</v>
      </c>
      <c r="H33">
        <v>1</v>
      </c>
      <c r="I33">
        <v>15.04</v>
      </c>
      <c r="J33">
        <v>27.82</v>
      </c>
      <c r="K33" t="s">
        <v>18</v>
      </c>
      <c r="L33">
        <v>7</v>
      </c>
      <c r="M33">
        <v>5</v>
      </c>
      <c r="N33" t="s">
        <v>19</v>
      </c>
      <c r="O33">
        <f t="shared" si="0"/>
        <v>102.85999999999999</v>
      </c>
      <c r="P33" t="str">
        <f t="shared" si="1"/>
        <v>April</v>
      </c>
    </row>
    <row r="34" spans="1:16" x14ac:dyDescent="0.25">
      <c r="A34" t="s">
        <v>66</v>
      </c>
      <c r="B34">
        <v>59</v>
      </c>
      <c r="C34" t="s">
        <v>21</v>
      </c>
      <c r="D34" t="s">
        <v>36</v>
      </c>
      <c r="E34" s="2">
        <v>45756</v>
      </c>
      <c r="F34" t="s">
        <v>29</v>
      </c>
      <c r="G34">
        <v>100</v>
      </c>
      <c r="H34">
        <v>3</v>
      </c>
      <c r="I34">
        <v>32.72</v>
      </c>
      <c r="J34">
        <v>18.09</v>
      </c>
      <c r="K34" t="s">
        <v>24</v>
      </c>
      <c r="L34">
        <v>9</v>
      </c>
      <c r="M34">
        <v>10</v>
      </c>
      <c r="N34" t="s">
        <v>19</v>
      </c>
      <c r="O34">
        <f t="shared" si="0"/>
        <v>350.81</v>
      </c>
      <c r="P34" t="str">
        <f t="shared" si="1"/>
        <v>April</v>
      </c>
    </row>
    <row r="35" spans="1:16" x14ac:dyDescent="0.25">
      <c r="A35" t="s">
        <v>67</v>
      </c>
      <c r="B35">
        <v>45</v>
      </c>
      <c r="C35" t="s">
        <v>15</v>
      </c>
      <c r="D35" t="s">
        <v>16</v>
      </c>
      <c r="E35" s="2">
        <v>45692</v>
      </c>
      <c r="F35" t="s">
        <v>41</v>
      </c>
      <c r="G35">
        <v>60</v>
      </c>
      <c r="H35">
        <v>1</v>
      </c>
      <c r="I35">
        <v>58.66</v>
      </c>
      <c r="J35">
        <v>29.3</v>
      </c>
      <c r="K35" t="s">
        <v>24</v>
      </c>
      <c r="L35">
        <v>6.3</v>
      </c>
      <c r="M35">
        <v>9</v>
      </c>
      <c r="N35" t="s">
        <v>19</v>
      </c>
      <c r="O35">
        <f t="shared" si="0"/>
        <v>147.96</v>
      </c>
      <c r="P35" t="str">
        <f t="shared" si="1"/>
        <v>February</v>
      </c>
    </row>
    <row r="36" spans="1:16" x14ac:dyDescent="0.25">
      <c r="A36" t="s">
        <v>68</v>
      </c>
      <c r="B36">
        <v>33</v>
      </c>
      <c r="C36" t="s">
        <v>15</v>
      </c>
      <c r="D36" t="s">
        <v>27</v>
      </c>
      <c r="E36" s="2">
        <v>45689</v>
      </c>
      <c r="F36" t="s">
        <v>17</v>
      </c>
      <c r="G36">
        <v>200</v>
      </c>
      <c r="H36">
        <v>3</v>
      </c>
      <c r="I36">
        <v>31.32</v>
      </c>
      <c r="J36">
        <v>32.74</v>
      </c>
      <c r="K36" t="s">
        <v>18</v>
      </c>
      <c r="L36">
        <v>9.1999999999999993</v>
      </c>
      <c r="M36">
        <v>9</v>
      </c>
      <c r="N36" t="s">
        <v>30</v>
      </c>
      <c r="O36">
        <f t="shared" si="0"/>
        <v>664.06000000000006</v>
      </c>
      <c r="P36" t="str">
        <f t="shared" si="1"/>
        <v>February</v>
      </c>
    </row>
    <row r="37" spans="1:16" x14ac:dyDescent="0.25">
      <c r="A37" t="s">
        <v>69</v>
      </c>
      <c r="B37">
        <v>32</v>
      </c>
      <c r="C37" t="s">
        <v>15</v>
      </c>
      <c r="D37" t="s">
        <v>22</v>
      </c>
      <c r="E37" s="2">
        <v>45787</v>
      </c>
      <c r="F37" t="s">
        <v>41</v>
      </c>
      <c r="G37">
        <v>60</v>
      </c>
      <c r="H37">
        <v>1</v>
      </c>
      <c r="I37">
        <v>64.36</v>
      </c>
      <c r="J37">
        <v>1.1200000000000001</v>
      </c>
      <c r="K37" t="s">
        <v>18</v>
      </c>
      <c r="L37">
        <v>8.1999999999999993</v>
      </c>
      <c r="M37">
        <v>7</v>
      </c>
      <c r="N37" t="s">
        <v>30</v>
      </c>
      <c r="O37">
        <f t="shared" si="0"/>
        <v>125.48</v>
      </c>
      <c r="P37" t="str">
        <f t="shared" si="1"/>
        <v>May</v>
      </c>
    </row>
    <row r="38" spans="1:16" x14ac:dyDescent="0.25">
      <c r="A38" t="s">
        <v>70</v>
      </c>
      <c r="B38">
        <v>64</v>
      </c>
      <c r="C38" t="s">
        <v>21</v>
      </c>
      <c r="D38" t="s">
        <v>27</v>
      </c>
      <c r="E38" s="2">
        <v>45880</v>
      </c>
      <c r="F38" t="s">
        <v>29</v>
      </c>
      <c r="G38">
        <v>100</v>
      </c>
      <c r="H38">
        <v>1</v>
      </c>
      <c r="I38">
        <v>68.31</v>
      </c>
      <c r="J38">
        <v>10.83</v>
      </c>
      <c r="K38" t="s">
        <v>18</v>
      </c>
      <c r="L38">
        <v>9.5</v>
      </c>
      <c r="M38">
        <v>8</v>
      </c>
      <c r="N38" t="s">
        <v>25</v>
      </c>
      <c r="O38">
        <f t="shared" si="0"/>
        <v>179.14000000000001</v>
      </c>
      <c r="P38" t="str">
        <f t="shared" si="1"/>
        <v>August</v>
      </c>
    </row>
    <row r="39" spans="1:16" x14ac:dyDescent="0.25">
      <c r="A39" t="s">
        <v>71</v>
      </c>
      <c r="B39">
        <v>68</v>
      </c>
      <c r="C39" t="s">
        <v>21</v>
      </c>
      <c r="D39" t="s">
        <v>36</v>
      </c>
      <c r="E39" s="2">
        <v>45830</v>
      </c>
      <c r="F39" t="s">
        <v>17</v>
      </c>
      <c r="G39">
        <v>200</v>
      </c>
      <c r="H39">
        <v>1</v>
      </c>
      <c r="I39">
        <v>43.77</v>
      </c>
      <c r="J39">
        <v>12.2</v>
      </c>
      <c r="K39" t="s">
        <v>18</v>
      </c>
      <c r="L39">
        <v>7.2</v>
      </c>
      <c r="M39">
        <v>5</v>
      </c>
      <c r="N39" t="s">
        <v>25</v>
      </c>
      <c r="O39">
        <f t="shared" si="0"/>
        <v>255.97</v>
      </c>
      <c r="P39" t="str">
        <f t="shared" si="1"/>
        <v>June</v>
      </c>
    </row>
    <row r="40" spans="1:16" x14ac:dyDescent="0.25">
      <c r="A40" t="s">
        <v>72</v>
      </c>
      <c r="B40">
        <v>61</v>
      </c>
      <c r="C40" t="s">
        <v>21</v>
      </c>
      <c r="D40" t="s">
        <v>22</v>
      </c>
      <c r="E40" s="2">
        <v>45781</v>
      </c>
      <c r="F40" t="s">
        <v>17</v>
      </c>
      <c r="G40">
        <v>200</v>
      </c>
      <c r="H40">
        <v>2</v>
      </c>
      <c r="I40">
        <v>67.38</v>
      </c>
      <c r="J40">
        <v>4.8099999999999996</v>
      </c>
      <c r="K40" t="s">
        <v>24</v>
      </c>
      <c r="L40">
        <v>7</v>
      </c>
      <c r="M40">
        <v>9</v>
      </c>
      <c r="N40" t="s">
        <v>25</v>
      </c>
      <c r="O40">
        <f t="shared" si="0"/>
        <v>472.19</v>
      </c>
      <c r="P40" t="str">
        <f t="shared" si="1"/>
        <v>May</v>
      </c>
    </row>
    <row r="41" spans="1:16" x14ac:dyDescent="0.25">
      <c r="A41" t="s">
        <v>73</v>
      </c>
      <c r="B41">
        <v>69</v>
      </c>
      <c r="C41" t="s">
        <v>15</v>
      </c>
      <c r="D41" t="s">
        <v>52</v>
      </c>
      <c r="E41" s="2">
        <v>45704</v>
      </c>
      <c r="F41" t="s">
        <v>41</v>
      </c>
      <c r="G41">
        <v>60</v>
      </c>
      <c r="H41">
        <v>1</v>
      </c>
      <c r="I41">
        <v>48.38</v>
      </c>
      <c r="J41">
        <v>23.19</v>
      </c>
      <c r="K41" t="s">
        <v>18</v>
      </c>
      <c r="L41">
        <v>8.8000000000000007</v>
      </c>
      <c r="M41">
        <v>7</v>
      </c>
      <c r="N41" t="s">
        <v>25</v>
      </c>
      <c r="O41">
        <f t="shared" si="0"/>
        <v>131.57</v>
      </c>
      <c r="P41" t="str">
        <f t="shared" si="1"/>
        <v>February</v>
      </c>
    </row>
    <row r="42" spans="1:16" x14ac:dyDescent="0.25">
      <c r="A42" t="s">
        <v>74</v>
      </c>
      <c r="B42">
        <v>20</v>
      </c>
      <c r="C42" t="s">
        <v>21</v>
      </c>
      <c r="D42" t="s">
        <v>40</v>
      </c>
      <c r="E42" s="2">
        <v>45691</v>
      </c>
      <c r="F42" t="s">
        <v>29</v>
      </c>
      <c r="G42">
        <v>100</v>
      </c>
      <c r="H42">
        <v>1</v>
      </c>
      <c r="I42">
        <v>51.72</v>
      </c>
      <c r="J42">
        <v>27.57</v>
      </c>
      <c r="K42" t="s">
        <v>18</v>
      </c>
      <c r="L42">
        <v>8</v>
      </c>
      <c r="M42">
        <v>7</v>
      </c>
      <c r="N42" t="s">
        <v>34</v>
      </c>
      <c r="O42">
        <f t="shared" si="0"/>
        <v>179.29</v>
      </c>
      <c r="P42" t="str">
        <f t="shared" si="1"/>
        <v>February</v>
      </c>
    </row>
    <row r="43" spans="1:16" x14ac:dyDescent="0.25">
      <c r="A43" t="s">
        <v>75</v>
      </c>
      <c r="B43">
        <v>54</v>
      </c>
      <c r="C43" t="s">
        <v>38</v>
      </c>
      <c r="D43" t="s">
        <v>36</v>
      </c>
      <c r="E43" s="2">
        <v>45822</v>
      </c>
      <c r="F43" t="s">
        <v>41</v>
      </c>
      <c r="G43">
        <v>60</v>
      </c>
      <c r="H43">
        <v>1</v>
      </c>
      <c r="I43">
        <v>66.150000000000006</v>
      </c>
      <c r="J43">
        <v>19.600000000000001</v>
      </c>
      <c r="K43" t="s">
        <v>18</v>
      </c>
      <c r="L43">
        <v>7.9</v>
      </c>
      <c r="M43">
        <v>7</v>
      </c>
      <c r="N43" t="s">
        <v>19</v>
      </c>
      <c r="O43">
        <f t="shared" si="0"/>
        <v>145.75</v>
      </c>
      <c r="P43" t="str">
        <f t="shared" si="1"/>
        <v>June</v>
      </c>
    </row>
    <row r="44" spans="1:16" x14ac:dyDescent="0.25">
      <c r="A44" t="s">
        <v>76</v>
      </c>
      <c r="B44">
        <v>68</v>
      </c>
      <c r="C44" t="s">
        <v>15</v>
      </c>
      <c r="D44" t="s">
        <v>36</v>
      </c>
      <c r="E44" s="2">
        <v>45728</v>
      </c>
      <c r="F44" t="s">
        <v>17</v>
      </c>
      <c r="G44">
        <v>200</v>
      </c>
      <c r="H44">
        <v>3</v>
      </c>
      <c r="I44">
        <v>53.82</v>
      </c>
      <c r="J44">
        <v>4.3</v>
      </c>
      <c r="K44" t="s">
        <v>18</v>
      </c>
      <c r="L44">
        <v>10</v>
      </c>
      <c r="M44">
        <v>10</v>
      </c>
      <c r="N44" t="s">
        <v>25</v>
      </c>
      <c r="O44">
        <f t="shared" si="0"/>
        <v>658.12</v>
      </c>
      <c r="P44" t="str">
        <f t="shared" si="1"/>
        <v>March</v>
      </c>
    </row>
    <row r="45" spans="1:16" x14ac:dyDescent="0.25">
      <c r="A45" t="s">
        <v>77</v>
      </c>
      <c r="B45">
        <v>24</v>
      </c>
      <c r="C45" t="s">
        <v>21</v>
      </c>
      <c r="D45" t="s">
        <v>16</v>
      </c>
      <c r="E45" s="2">
        <v>45861</v>
      </c>
      <c r="F45" t="s">
        <v>17</v>
      </c>
      <c r="G45">
        <v>200</v>
      </c>
      <c r="H45">
        <v>1</v>
      </c>
      <c r="I45">
        <v>12.34</v>
      </c>
      <c r="J45">
        <v>25.09</v>
      </c>
      <c r="K45" t="s">
        <v>18</v>
      </c>
      <c r="L45">
        <v>8.9</v>
      </c>
      <c r="M45">
        <v>7</v>
      </c>
      <c r="N45" t="s">
        <v>34</v>
      </c>
      <c r="O45">
        <f t="shared" si="0"/>
        <v>237.43</v>
      </c>
      <c r="P45" t="str">
        <f t="shared" si="1"/>
        <v>July</v>
      </c>
    </row>
    <row r="46" spans="1:16" x14ac:dyDescent="0.25">
      <c r="A46" t="s">
        <v>78</v>
      </c>
      <c r="B46">
        <v>38</v>
      </c>
      <c r="C46" t="s">
        <v>21</v>
      </c>
      <c r="D46" t="s">
        <v>27</v>
      </c>
      <c r="E46" s="2">
        <v>45768</v>
      </c>
      <c r="F46" t="s">
        <v>29</v>
      </c>
      <c r="G46">
        <v>100</v>
      </c>
      <c r="H46">
        <v>3</v>
      </c>
      <c r="I46">
        <v>137.36850000000001</v>
      </c>
      <c r="J46">
        <v>11.66</v>
      </c>
      <c r="K46" t="s">
        <v>18</v>
      </c>
      <c r="L46">
        <v>5</v>
      </c>
      <c r="M46">
        <v>9</v>
      </c>
      <c r="N46" t="s">
        <v>30</v>
      </c>
      <c r="O46">
        <f t="shared" si="0"/>
        <v>449.02850000000007</v>
      </c>
      <c r="P46" t="str">
        <f t="shared" si="1"/>
        <v>April</v>
      </c>
    </row>
    <row r="47" spans="1:16" x14ac:dyDescent="0.25">
      <c r="A47" t="s">
        <v>79</v>
      </c>
      <c r="B47">
        <v>26</v>
      </c>
      <c r="C47" t="s">
        <v>21</v>
      </c>
      <c r="D47" t="s">
        <v>36</v>
      </c>
      <c r="E47" s="2">
        <v>45743</v>
      </c>
      <c r="F47" t="s">
        <v>23</v>
      </c>
      <c r="G47">
        <v>150</v>
      </c>
      <c r="H47">
        <v>1</v>
      </c>
      <c r="I47">
        <v>54.76</v>
      </c>
      <c r="J47">
        <v>10.64</v>
      </c>
      <c r="K47" t="s">
        <v>18</v>
      </c>
      <c r="L47">
        <v>9.1999999999999993</v>
      </c>
      <c r="M47">
        <v>8</v>
      </c>
      <c r="N47" t="s">
        <v>34</v>
      </c>
      <c r="O47">
        <f t="shared" si="0"/>
        <v>215.39999999999998</v>
      </c>
      <c r="P47" t="str">
        <f t="shared" si="1"/>
        <v>March</v>
      </c>
    </row>
    <row r="48" spans="1:16" x14ac:dyDescent="0.25">
      <c r="A48" t="s">
        <v>80</v>
      </c>
      <c r="B48">
        <v>56</v>
      </c>
      <c r="C48" t="s">
        <v>15</v>
      </c>
      <c r="D48" t="s">
        <v>36</v>
      </c>
      <c r="E48" s="2">
        <v>45880</v>
      </c>
      <c r="F48" t="s">
        <v>29</v>
      </c>
      <c r="G48">
        <v>100</v>
      </c>
      <c r="H48">
        <v>1</v>
      </c>
      <c r="I48">
        <v>24.55</v>
      </c>
      <c r="J48">
        <v>34.619999999999997</v>
      </c>
      <c r="K48" t="s">
        <v>18</v>
      </c>
      <c r="L48">
        <v>9</v>
      </c>
      <c r="M48">
        <v>7</v>
      </c>
      <c r="N48" t="s">
        <v>19</v>
      </c>
      <c r="O48">
        <f t="shared" si="0"/>
        <v>159.16999999999999</v>
      </c>
      <c r="P48" t="str">
        <f t="shared" si="1"/>
        <v>August</v>
      </c>
    </row>
    <row r="49" spans="1:16" x14ac:dyDescent="0.25">
      <c r="A49" t="s">
        <v>81</v>
      </c>
      <c r="B49">
        <v>35</v>
      </c>
      <c r="C49" t="s">
        <v>21</v>
      </c>
      <c r="D49" t="s">
        <v>52</v>
      </c>
      <c r="E49" s="2">
        <v>45808</v>
      </c>
      <c r="F49" t="s">
        <v>41</v>
      </c>
      <c r="G49">
        <v>60</v>
      </c>
      <c r="H49">
        <v>2</v>
      </c>
      <c r="I49">
        <v>68.84</v>
      </c>
      <c r="J49">
        <v>46.159499999999987</v>
      </c>
      <c r="K49" t="s">
        <v>24</v>
      </c>
      <c r="L49">
        <v>9.8000000000000007</v>
      </c>
      <c r="M49">
        <v>7</v>
      </c>
      <c r="N49" t="s">
        <v>30</v>
      </c>
      <c r="O49">
        <f t="shared" si="0"/>
        <v>234.99949999999998</v>
      </c>
      <c r="P49" t="str">
        <f t="shared" si="1"/>
        <v>May</v>
      </c>
    </row>
    <row r="50" spans="1:16" x14ac:dyDescent="0.25">
      <c r="A50" t="s">
        <v>82</v>
      </c>
      <c r="B50">
        <v>21</v>
      </c>
      <c r="C50" t="s">
        <v>21</v>
      </c>
      <c r="D50" t="s">
        <v>52</v>
      </c>
      <c r="E50" s="2">
        <v>45868</v>
      </c>
      <c r="F50" t="s">
        <v>41</v>
      </c>
      <c r="G50">
        <v>60</v>
      </c>
      <c r="H50">
        <v>3</v>
      </c>
      <c r="I50">
        <v>137.36850000000001</v>
      </c>
      <c r="J50">
        <v>26.13</v>
      </c>
      <c r="K50" t="s">
        <v>24</v>
      </c>
      <c r="L50">
        <v>6.6</v>
      </c>
      <c r="M50">
        <v>7</v>
      </c>
      <c r="N50" t="s">
        <v>34</v>
      </c>
      <c r="O50">
        <f t="shared" si="0"/>
        <v>343.49850000000004</v>
      </c>
      <c r="P50" t="str">
        <f t="shared" si="1"/>
        <v>July</v>
      </c>
    </row>
    <row r="51" spans="1:16" x14ac:dyDescent="0.25">
      <c r="A51" t="s">
        <v>83</v>
      </c>
      <c r="B51">
        <v>42</v>
      </c>
      <c r="C51" t="s">
        <v>21</v>
      </c>
      <c r="D51" t="s">
        <v>22</v>
      </c>
      <c r="E51" s="2">
        <v>45890</v>
      </c>
      <c r="F51" t="s">
        <v>41</v>
      </c>
      <c r="G51">
        <v>60</v>
      </c>
      <c r="H51">
        <v>1</v>
      </c>
      <c r="I51">
        <v>29.41</v>
      </c>
      <c r="J51">
        <v>11.76</v>
      </c>
      <c r="K51" t="s">
        <v>18</v>
      </c>
      <c r="L51">
        <v>8.5</v>
      </c>
      <c r="M51">
        <v>8</v>
      </c>
      <c r="N51" t="s">
        <v>19</v>
      </c>
      <c r="O51">
        <f t="shared" si="0"/>
        <v>101.17</v>
      </c>
      <c r="P51" t="str">
        <f t="shared" si="1"/>
        <v>August</v>
      </c>
    </row>
    <row r="52" spans="1:16" x14ac:dyDescent="0.25">
      <c r="A52" t="s">
        <v>84</v>
      </c>
      <c r="B52">
        <v>31</v>
      </c>
      <c r="C52" t="s">
        <v>38</v>
      </c>
      <c r="D52" t="s">
        <v>33</v>
      </c>
      <c r="E52" s="2">
        <v>45688</v>
      </c>
      <c r="F52" t="s">
        <v>41</v>
      </c>
      <c r="G52">
        <v>60</v>
      </c>
      <c r="H52">
        <v>3</v>
      </c>
      <c r="I52">
        <v>137.36850000000001</v>
      </c>
      <c r="J52">
        <v>13.98</v>
      </c>
      <c r="K52" t="s">
        <v>18</v>
      </c>
      <c r="L52">
        <v>8.1999999999999993</v>
      </c>
      <c r="M52">
        <v>9</v>
      </c>
      <c r="N52" t="s">
        <v>30</v>
      </c>
      <c r="O52">
        <f t="shared" si="0"/>
        <v>331.34850000000006</v>
      </c>
      <c r="P52" t="str">
        <f t="shared" si="1"/>
        <v>January</v>
      </c>
    </row>
    <row r="53" spans="1:16" x14ac:dyDescent="0.25">
      <c r="A53" t="s">
        <v>85</v>
      </c>
      <c r="B53">
        <v>67</v>
      </c>
      <c r="C53" t="s">
        <v>21</v>
      </c>
      <c r="D53" t="s">
        <v>33</v>
      </c>
      <c r="E53" s="2">
        <v>45844</v>
      </c>
      <c r="F53" t="s">
        <v>23</v>
      </c>
      <c r="G53">
        <v>150</v>
      </c>
      <c r="H53">
        <v>3</v>
      </c>
      <c r="I53">
        <v>86.2</v>
      </c>
      <c r="J53">
        <v>29.4</v>
      </c>
      <c r="K53" t="s">
        <v>18</v>
      </c>
      <c r="L53">
        <v>6.6</v>
      </c>
      <c r="M53">
        <v>7</v>
      </c>
      <c r="N53" t="s">
        <v>25</v>
      </c>
      <c r="O53">
        <f t="shared" si="0"/>
        <v>565.6</v>
      </c>
      <c r="P53" t="str">
        <f t="shared" si="1"/>
        <v>July</v>
      </c>
    </row>
    <row r="54" spans="1:16" x14ac:dyDescent="0.25">
      <c r="A54" t="s">
        <v>86</v>
      </c>
      <c r="B54">
        <v>26</v>
      </c>
      <c r="C54" t="s">
        <v>38</v>
      </c>
      <c r="D54" t="s">
        <v>40</v>
      </c>
      <c r="E54" s="2">
        <v>45746</v>
      </c>
      <c r="F54" t="s">
        <v>29</v>
      </c>
      <c r="G54">
        <v>100</v>
      </c>
      <c r="H54">
        <v>4</v>
      </c>
      <c r="I54">
        <v>9.39</v>
      </c>
      <c r="J54">
        <v>3.32</v>
      </c>
      <c r="K54" t="s">
        <v>18</v>
      </c>
      <c r="L54">
        <v>9.4</v>
      </c>
      <c r="M54">
        <v>7</v>
      </c>
      <c r="N54" t="s">
        <v>34</v>
      </c>
      <c r="O54">
        <f t="shared" si="0"/>
        <v>412.71</v>
      </c>
      <c r="P54" t="str">
        <f t="shared" si="1"/>
        <v>March</v>
      </c>
    </row>
    <row r="55" spans="1:16" x14ac:dyDescent="0.25">
      <c r="A55" t="s">
        <v>87</v>
      </c>
      <c r="B55">
        <v>43</v>
      </c>
      <c r="C55" t="s">
        <v>21</v>
      </c>
      <c r="D55" t="s">
        <v>33</v>
      </c>
      <c r="E55" s="2">
        <v>45737</v>
      </c>
      <c r="F55" t="s">
        <v>29</v>
      </c>
      <c r="G55">
        <v>100</v>
      </c>
      <c r="H55">
        <v>2</v>
      </c>
      <c r="I55">
        <v>137.36850000000001</v>
      </c>
      <c r="J55">
        <v>46.159499999999987</v>
      </c>
      <c r="K55" t="s">
        <v>18</v>
      </c>
      <c r="L55">
        <v>7.6</v>
      </c>
      <c r="M55">
        <v>7</v>
      </c>
      <c r="N55" t="s">
        <v>19</v>
      </c>
      <c r="O55">
        <f t="shared" si="0"/>
        <v>383.52800000000002</v>
      </c>
      <c r="P55" t="str">
        <f t="shared" si="1"/>
        <v>March</v>
      </c>
    </row>
    <row r="56" spans="1:16" x14ac:dyDescent="0.25">
      <c r="A56" t="s">
        <v>88</v>
      </c>
      <c r="B56">
        <v>19</v>
      </c>
      <c r="C56" t="s">
        <v>21</v>
      </c>
      <c r="D56" t="s">
        <v>16</v>
      </c>
      <c r="E56" s="2">
        <v>45873</v>
      </c>
      <c r="F56" t="s">
        <v>41</v>
      </c>
      <c r="G56">
        <v>60</v>
      </c>
      <c r="H56">
        <v>2</v>
      </c>
      <c r="I56">
        <v>9.48</v>
      </c>
      <c r="J56">
        <v>17.52</v>
      </c>
      <c r="K56" t="s">
        <v>18</v>
      </c>
      <c r="L56">
        <v>9.6999999999999993</v>
      </c>
      <c r="M56">
        <v>6</v>
      </c>
      <c r="N56" t="s">
        <v>34</v>
      </c>
      <c r="O56">
        <f t="shared" si="0"/>
        <v>147</v>
      </c>
      <c r="P56" t="str">
        <f t="shared" si="1"/>
        <v>August</v>
      </c>
    </row>
    <row r="57" spans="1:16" x14ac:dyDescent="0.25">
      <c r="A57" t="s">
        <v>89</v>
      </c>
      <c r="B57">
        <v>37</v>
      </c>
      <c r="C57" t="s">
        <v>21</v>
      </c>
      <c r="D57" t="s">
        <v>40</v>
      </c>
      <c r="E57" s="2">
        <v>45806</v>
      </c>
      <c r="F57" t="s">
        <v>17</v>
      </c>
      <c r="G57">
        <v>200</v>
      </c>
      <c r="H57">
        <v>2</v>
      </c>
      <c r="I57">
        <v>56.85</v>
      </c>
      <c r="J57">
        <v>16.559999999999999</v>
      </c>
      <c r="K57" t="s">
        <v>18</v>
      </c>
      <c r="L57">
        <v>6.9</v>
      </c>
      <c r="M57">
        <v>6</v>
      </c>
      <c r="N57" t="s">
        <v>30</v>
      </c>
      <c r="O57">
        <f t="shared" si="0"/>
        <v>473.41</v>
      </c>
      <c r="P57" t="str">
        <f t="shared" si="1"/>
        <v>May</v>
      </c>
    </row>
    <row r="58" spans="1:16" x14ac:dyDescent="0.25">
      <c r="A58" t="s">
        <v>90</v>
      </c>
      <c r="B58">
        <v>45</v>
      </c>
      <c r="C58" t="s">
        <v>15</v>
      </c>
      <c r="D58" t="s">
        <v>22</v>
      </c>
      <c r="E58" s="2">
        <v>45908</v>
      </c>
      <c r="F58" t="s">
        <v>29</v>
      </c>
      <c r="G58">
        <v>100</v>
      </c>
      <c r="H58">
        <v>4</v>
      </c>
      <c r="I58">
        <v>44.99</v>
      </c>
      <c r="J58">
        <v>16.32</v>
      </c>
      <c r="K58" t="s">
        <v>18</v>
      </c>
      <c r="L58">
        <v>5.8</v>
      </c>
      <c r="M58">
        <v>10</v>
      </c>
      <c r="N58" t="s">
        <v>19</v>
      </c>
      <c r="O58">
        <f t="shared" si="0"/>
        <v>461.31</v>
      </c>
      <c r="P58" t="str">
        <f t="shared" si="1"/>
        <v>September</v>
      </c>
    </row>
    <row r="59" spans="1:16" x14ac:dyDescent="0.25">
      <c r="A59" t="s">
        <v>91</v>
      </c>
      <c r="B59">
        <v>64</v>
      </c>
      <c r="C59" t="s">
        <v>21</v>
      </c>
      <c r="D59" t="s">
        <v>52</v>
      </c>
      <c r="E59" s="2">
        <v>45893</v>
      </c>
      <c r="F59" t="s">
        <v>17</v>
      </c>
      <c r="G59">
        <v>200</v>
      </c>
      <c r="H59">
        <v>4</v>
      </c>
      <c r="I59">
        <v>20.260000000000002</v>
      </c>
      <c r="J59">
        <v>7.74</v>
      </c>
      <c r="K59" t="s">
        <v>18</v>
      </c>
      <c r="L59">
        <v>7.6</v>
      </c>
      <c r="M59">
        <v>7</v>
      </c>
      <c r="N59" t="s">
        <v>25</v>
      </c>
      <c r="O59">
        <f t="shared" si="0"/>
        <v>828</v>
      </c>
      <c r="P59" t="str">
        <f t="shared" si="1"/>
        <v>August</v>
      </c>
    </row>
    <row r="60" spans="1:16" x14ac:dyDescent="0.25">
      <c r="A60" t="s">
        <v>92</v>
      </c>
      <c r="B60">
        <v>24</v>
      </c>
      <c r="C60" t="s">
        <v>21</v>
      </c>
      <c r="D60" t="s">
        <v>33</v>
      </c>
      <c r="E60" s="2">
        <v>45838</v>
      </c>
      <c r="F60" t="s">
        <v>29</v>
      </c>
      <c r="G60">
        <v>100</v>
      </c>
      <c r="H60">
        <v>2</v>
      </c>
      <c r="I60">
        <v>76.91</v>
      </c>
      <c r="J60">
        <v>35.46</v>
      </c>
      <c r="K60" t="s">
        <v>18</v>
      </c>
      <c r="L60">
        <v>8.3000000000000007</v>
      </c>
      <c r="M60">
        <v>7</v>
      </c>
      <c r="N60" t="s">
        <v>34</v>
      </c>
      <c r="O60">
        <f t="shared" si="0"/>
        <v>312.36999999999995</v>
      </c>
      <c r="P60" t="str">
        <f t="shared" si="1"/>
        <v>June</v>
      </c>
    </row>
    <row r="61" spans="1:16" x14ac:dyDescent="0.25">
      <c r="A61" t="s">
        <v>93</v>
      </c>
      <c r="B61">
        <v>61</v>
      </c>
      <c r="C61" t="s">
        <v>21</v>
      </c>
      <c r="D61" t="s">
        <v>27</v>
      </c>
      <c r="E61" s="2">
        <v>45843</v>
      </c>
      <c r="F61" t="s">
        <v>41</v>
      </c>
      <c r="G61">
        <v>60</v>
      </c>
      <c r="H61">
        <v>4</v>
      </c>
      <c r="I61">
        <v>119.14</v>
      </c>
      <c r="J61">
        <v>22.67</v>
      </c>
      <c r="K61" t="s">
        <v>24</v>
      </c>
      <c r="L61">
        <v>7.2</v>
      </c>
      <c r="M61">
        <v>7</v>
      </c>
      <c r="N61" t="s">
        <v>25</v>
      </c>
      <c r="O61">
        <f t="shared" si="0"/>
        <v>381.81</v>
      </c>
      <c r="P61" t="str">
        <f t="shared" si="1"/>
        <v>July</v>
      </c>
    </row>
    <row r="62" spans="1:16" x14ac:dyDescent="0.25">
      <c r="A62" t="s">
        <v>94</v>
      </c>
      <c r="B62">
        <v>25</v>
      </c>
      <c r="C62" t="s">
        <v>38</v>
      </c>
      <c r="D62" t="s">
        <v>52</v>
      </c>
      <c r="E62" s="2">
        <v>45852</v>
      </c>
      <c r="F62" t="s">
        <v>41</v>
      </c>
      <c r="G62">
        <v>60</v>
      </c>
      <c r="H62">
        <v>4</v>
      </c>
      <c r="I62">
        <v>13.3</v>
      </c>
      <c r="J62">
        <v>2.52</v>
      </c>
      <c r="K62" t="s">
        <v>18</v>
      </c>
      <c r="L62">
        <v>3.4</v>
      </c>
      <c r="M62">
        <v>8</v>
      </c>
      <c r="N62" t="s">
        <v>34</v>
      </c>
      <c r="O62">
        <f t="shared" si="0"/>
        <v>255.82000000000002</v>
      </c>
      <c r="P62" t="str">
        <f t="shared" si="1"/>
        <v>July</v>
      </c>
    </row>
    <row r="63" spans="1:16" x14ac:dyDescent="0.25">
      <c r="A63" t="s">
        <v>95</v>
      </c>
      <c r="B63">
        <v>64</v>
      </c>
      <c r="C63" t="s">
        <v>15</v>
      </c>
      <c r="D63" t="s">
        <v>16</v>
      </c>
      <c r="E63" s="2">
        <v>45876</v>
      </c>
      <c r="F63" t="s">
        <v>23</v>
      </c>
      <c r="G63">
        <v>150</v>
      </c>
      <c r="H63">
        <v>4</v>
      </c>
      <c r="I63">
        <v>136.56</v>
      </c>
      <c r="J63">
        <v>23.71</v>
      </c>
      <c r="K63" t="s">
        <v>18</v>
      </c>
      <c r="L63">
        <v>8.6</v>
      </c>
      <c r="M63">
        <v>9</v>
      </c>
      <c r="N63" t="s">
        <v>25</v>
      </c>
      <c r="O63">
        <f t="shared" si="0"/>
        <v>760.27</v>
      </c>
      <c r="P63" t="str">
        <f t="shared" si="1"/>
        <v>August</v>
      </c>
    </row>
    <row r="64" spans="1:16" x14ac:dyDescent="0.25">
      <c r="A64" t="s">
        <v>96</v>
      </c>
      <c r="B64">
        <v>52</v>
      </c>
      <c r="C64" t="s">
        <v>21</v>
      </c>
      <c r="D64" t="s">
        <v>52</v>
      </c>
      <c r="E64" s="2">
        <v>45848</v>
      </c>
      <c r="F64" t="s">
        <v>41</v>
      </c>
      <c r="G64">
        <v>60</v>
      </c>
      <c r="H64">
        <v>2</v>
      </c>
      <c r="I64">
        <v>85.47</v>
      </c>
      <c r="J64">
        <v>30.52</v>
      </c>
      <c r="K64" t="s">
        <v>18</v>
      </c>
      <c r="L64">
        <v>8.6</v>
      </c>
      <c r="M64">
        <v>7</v>
      </c>
      <c r="N64" t="s">
        <v>19</v>
      </c>
      <c r="O64">
        <f t="shared" si="0"/>
        <v>235.99</v>
      </c>
      <c r="P64" t="str">
        <f t="shared" si="1"/>
        <v>July</v>
      </c>
    </row>
    <row r="65" spans="1:16" x14ac:dyDescent="0.25">
      <c r="A65" t="s">
        <v>97</v>
      </c>
      <c r="B65">
        <v>31</v>
      </c>
      <c r="C65" t="s">
        <v>21</v>
      </c>
      <c r="D65" t="s">
        <v>16</v>
      </c>
      <c r="E65" s="2">
        <v>45692</v>
      </c>
      <c r="F65" t="s">
        <v>29</v>
      </c>
      <c r="G65">
        <v>100</v>
      </c>
      <c r="H65">
        <v>2</v>
      </c>
      <c r="I65">
        <v>130.47</v>
      </c>
      <c r="J65">
        <v>26.68</v>
      </c>
      <c r="K65" t="s">
        <v>24</v>
      </c>
      <c r="L65">
        <v>9</v>
      </c>
      <c r="M65">
        <v>8</v>
      </c>
      <c r="N65" t="s">
        <v>30</v>
      </c>
      <c r="O65">
        <f t="shared" si="0"/>
        <v>357.15000000000003</v>
      </c>
      <c r="P65" t="str">
        <f t="shared" si="1"/>
        <v>February</v>
      </c>
    </row>
    <row r="66" spans="1:16" x14ac:dyDescent="0.25">
      <c r="A66" t="s">
        <v>98</v>
      </c>
      <c r="B66">
        <v>34</v>
      </c>
      <c r="C66" t="s">
        <v>21</v>
      </c>
      <c r="D66" t="s">
        <v>16</v>
      </c>
      <c r="E66" s="2">
        <v>45720</v>
      </c>
      <c r="F66" t="s">
        <v>17</v>
      </c>
      <c r="G66">
        <v>200</v>
      </c>
      <c r="H66">
        <v>2</v>
      </c>
      <c r="I66">
        <v>49.04</v>
      </c>
      <c r="J66">
        <v>23.29</v>
      </c>
      <c r="K66" t="s">
        <v>24</v>
      </c>
      <c r="L66">
        <v>7.4</v>
      </c>
      <c r="M66">
        <v>10</v>
      </c>
      <c r="N66" t="s">
        <v>30</v>
      </c>
      <c r="O66">
        <f t="shared" si="0"/>
        <v>472.33000000000004</v>
      </c>
      <c r="P66" t="str">
        <f t="shared" si="1"/>
        <v>March</v>
      </c>
    </row>
    <row r="67" spans="1:16" x14ac:dyDescent="0.25">
      <c r="A67" t="s">
        <v>99</v>
      </c>
      <c r="B67">
        <v>53</v>
      </c>
      <c r="C67" t="s">
        <v>21</v>
      </c>
      <c r="D67" t="s">
        <v>16</v>
      </c>
      <c r="E67" s="2">
        <v>45775</v>
      </c>
      <c r="F67" t="s">
        <v>23</v>
      </c>
      <c r="G67">
        <v>150</v>
      </c>
      <c r="H67">
        <v>4</v>
      </c>
      <c r="I67">
        <v>137.36850000000001</v>
      </c>
      <c r="J67">
        <v>40.01</v>
      </c>
      <c r="K67" t="s">
        <v>24</v>
      </c>
      <c r="L67">
        <v>7.3</v>
      </c>
      <c r="M67">
        <v>7</v>
      </c>
      <c r="N67" t="s">
        <v>19</v>
      </c>
      <c r="O67">
        <f t="shared" ref="O67:O130" si="2">(G67*H67)+I67+J67</f>
        <v>777.37850000000003</v>
      </c>
      <c r="P67" t="str">
        <f t="shared" ref="P67:P130" si="3">TEXT(E67, "mmmm")</f>
        <v>April</v>
      </c>
    </row>
    <row r="68" spans="1:16" x14ac:dyDescent="0.25">
      <c r="A68" t="s">
        <v>100</v>
      </c>
      <c r="B68">
        <v>67</v>
      </c>
      <c r="C68" t="s">
        <v>21</v>
      </c>
      <c r="D68" t="s">
        <v>22</v>
      </c>
      <c r="E68" s="2">
        <v>45754</v>
      </c>
      <c r="F68" t="s">
        <v>23</v>
      </c>
      <c r="G68">
        <v>150</v>
      </c>
      <c r="H68">
        <v>2</v>
      </c>
      <c r="I68">
        <v>64.83</v>
      </c>
      <c r="J68">
        <v>12.34</v>
      </c>
      <c r="K68" t="s">
        <v>18</v>
      </c>
      <c r="L68">
        <v>10</v>
      </c>
      <c r="M68">
        <v>7</v>
      </c>
      <c r="N68" t="s">
        <v>25</v>
      </c>
      <c r="O68">
        <f t="shared" si="2"/>
        <v>377.16999999999996</v>
      </c>
      <c r="P68" t="str">
        <f t="shared" si="3"/>
        <v>April</v>
      </c>
    </row>
    <row r="69" spans="1:16" x14ac:dyDescent="0.25">
      <c r="A69" t="s">
        <v>101</v>
      </c>
      <c r="B69">
        <v>57</v>
      </c>
      <c r="C69" t="s">
        <v>21</v>
      </c>
      <c r="D69" t="s">
        <v>16</v>
      </c>
      <c r="E69" s="2">
        <v>45666</v>
      </c>
      <c r="F69" t="s">
        <v>17</v>
      </c>
      <c r="G69">
        <v>200</v>
      </c>
      <c r="H69">
        <v>4</v>
      </c>
      <c r="I69">
        <v>62.45</v>
      </c>
      <c r="J69">
        <v>16.14</v>
      </c>
      <c r="K69" t="s">
        <v>18</v>
      </c>
      <c r="L69">
        <v>5.6</v>
      </c>
      <c r="M69">
        <v>9</v>
      </c>
      <c r="N69" t="s">
        <v>19</v>
      </c>
      <c r="O69">
        <f t="shared" si="2"/>
        <v>878.59</v>
      </c>
      <c r="P69" t="str">
        <f t="shared" si="3"/>
        <v>January</v>
      </c>
    </row>
    <row r="70" spans="1:16" x14ac:dyDescent="0.25">
      <c r="A70" t="s">
        <v>102</v>
      </c>
      <c r="B70">
        <v>21</v>
      </c>
      <c r="C70" t="s">
        <v>15</v>
      </c>
      <c r="D70" t="s">
        <v>16</v>
      </c>
      <c r="E70" s="2">
        <v>45668</v>
      </c>
      <c r="F70" t="s">
        <v>41</v>
      </c>
      <c r="G70">
        <v>60</v>
      </c>
      <c r="H70">
        <v>1</v>
      </c>
      <c r="I70">
        <v>60.93</v>
      </c>
      <c r="J70">
        <v>6.59</v>
      </c>
      <c r="K70" t="s">
        <v>24</v>
      </c>
      <c r="L70">
        <v>7.6</v>
      </c>
      <c r="M70">
        <v>10</v>
      </c>
      <c r="N70" t="s">
        <v>34</v>
      </c>
      <c r="O70">
        <f t="shared" si="2"/>
        <v>127.52000000000001</v>
      </c>
      <c r="P70" t="str">
        <f t="shared" si="3"/>
        <v>January</v>
      </c>
    </row>
    <row r="71" spans="1:16" x14ac:dyDescent="0.25">
      <c r="A71" t="s">
        <v>103</v>
      </c>
      <c r="B71">
        <v>19</v>
      </c>
      <c r="C71" t="s">
        <v>15</v>
      </c>
      <c r="D71" t="s">
        <v>27</v>
      </c>
      <c r="E71" s="2">
        <v>45770</v>
      </c>
      <c r="F71" t="s">
        <v>29</v>
      </c>
      <c r="G71">
        <v>100</v>
      </c>
      <c r="H71">
        <v>4</v>
      </c>
      <c r="I71">
        <v>11.15</v>
      </c>
      <c r="J71">
        <v>46.159499999999987</v>
      </c>
      <c r="K71" t="s">
        <v>18</v>
      </c>
      <c r="L71">
        <v>8.1999999999999993</v>
      </c>
      <c r="M71">
        <v>6</v>
      </c>
      <c r="N71" t="s">
        <v>34</v>
      </c>
      <c r="O71">
        <f t="shared" si="2"/>
        <v>457.30949999999996</v>
      </c>
      <c r="P71" t="str">
        <f t="shared" si="3"/>
        <v>April</v>
      </c>
    </row>
    <row r="72" spans="1:16" x14ac:dyDescent="0.25">
      <c r="A72" t="s">
        <v>104</v>
      </c>
      <c r="B72">
        <v>23</v>
      </c>
      <c r="C72" t="s">
        <v>21</v>
      </c>
      <c r="D72" t="s">
        <v>40</v>
      </c>
      <c r="E72" s="2">
        <v>45886</v>
      </c>
      <c r="F72" t="s">
        <v>41</v>
      </c>
      <c r="G72">
        <v>60</v>
      </c>
      <c r="H72">
        <v>3</v>
      </c>
      <c r="I72">
        <v>76.36</v>
      </c>
      <c r="J72">
        <v>5.85</v>
      </c>
      <c r="K72" t="s">
        <v>18</v>
      </c>
      <c r="L72">
        <v>8.9</v>
      </c>
      <c r="M72">
        <v>5</v>
      </c>
      <c r="N72" t="s">
        <v>34</v>
      </c>
      <c r="O72">
        <f t="shared" si="2"/>
        <v>262.21000000000004</v>
      </c>
      <c r="P72" t="str">
        <f t="shared" si="3"/>
        <v>August</v>
      </c>
    </row>
    <row r="73" spans="1:16" x14ac:dyDescent="0.25">
      <c r="A73" t="s">
        <v>105</v>
      </c>
      <c r="B73">
        <v>59</v>
      </c>
      <c r="C73" t="s">
        <v>15</v>
      </c>
      <c r="D73" t="s">
        <v>36</v>
      </c>
      <c r="E73" s="2">
        <v>45747</v>
      </c>
      <c r="F73" t="s">
        <v>23</v>
      </c>
      <c r="G73">
        <v>150</v>
      </c>
      <c r="H73">
        <v>2</v>
      </c>
      <c r="I73">
        <v>17.79</v>
      </c>
      <c r="J73">
        <v>26.67</v>
      </c>
      <c r="K73" t="s">
        <v>24</v>
      </c>
      <c r="L73">
        <v>8.3000000000000007</v>
      </c>
      <c r="M73">
        <v>8</v>
      </c>
      <c r="N73" t="s">
        <v>19</v>
      </c>
      <c r="O73">
        <f t="shared" si="2"/>
        <v>344.46000000000004</v>
      </c>
      <c r="P73" t="str">
        <f t="shared" si="3"/>
        <v>March</v>
      </c>
    </row>
    <row r="74" spans="1:16" x14ac:dyDescent="0.25">
      <c r="A74" t="s">
        <v>106</v>
      </c>
      <c r="B74">
        <v>21</v>
      </c>
      <c r="C74" t="s">
        <v>15</v>
      </c>
      <c r="D74" t="s">
        <v>40</v>
      </c>
      <c r="E74" s="2">
        <v>45849</v>
      </c>
      <c r="F74" t="s">
        <v>17</v>
      </c>
      <c r="G74">
        <v>200</v>
      </c>
      <c r="H74">
        <v>2</v>
      </c>
      <c r="I74">
        <v>20.99</v>
      </c>
      <c r="J74">
        <v>11.33</v>
      </c>
      <c r="K74" t="s">
        <v>18</v>
      </c>
      <c r="L74">
        <v>6.6</v>
      </c>
      <c r="M74">
        <v>8</v>
      </c>
      <c r="N74" t="s">
        <v>34</v>
      </c>
      <c r="O74">
        <f t="shared" si="2"/>
        <v>432.32</v>
      </c>
      <c r="P74" t="str">
        <f t="shared" si="3"/>
        <v>July</v>
      </c>
    </row>
    <row r="75" spans="1:16" x14ac:dyDescent="0.25">
      <c r="A75" t="s">
        <v>107</v>
      </c>
      <c r="B75">
        <v>46</v>
      </c>
      <c r="C75" t="s">
        <v>21</v>
      </c>
      <c r="D75" t="s">
        <v>16</v>
      </c>
      <c r="E75" s="2">
        <v>45799</v>
      </c>
      <c r="F75" t="s">
        <v>29</v>
      </c>
      <c r="G75">
        <v>100</v>
      </c>
      <c r="H75">
        <v>3</v>
      </c>
      <c r="I75">
        <v>6.84</v>
      </c>
      <c r="J75">
        <v>16.47</v>
      </c>
      <c r="K75" t="s">
        <v>18</v>
      </c>
      <c r="L75">
        <v>9.8000000000000007</v>
      </c>
      <c r="M75">
        <v>9</v>
      </c>
      <c r="N75" t="s">
        <v>19</v>
      </c>
      <c r="O75">
        <f t="shared" si="2"/>
        <v>323.30999999999995</v>
      </c>
      <c r="P75" t="str">
        <f t="shared" si="3"/>
        <v>May</v>
      </c>
    </row>
    <row r="76" spans="1:16" x14ac:dyDescent="0.25">
      <c r="A76" t="s">
        <v>108</v>
      </c>
      <c r="B76">
        <v>35</v>
      </c>
      <c r="C76" t="s">
        <v>15</v>
      </c>
      <c r="D76" t="s">
        <v>27</v>
      </c>
      <c r="E76" s="2">
        <v>45828</v>
      </c>
      <c r="F76" t="s">
        <v>17</v>
      </c>
      <c r="G76">
        <v>200</v>
      </c>
      <c r="H76">
        <v>4</v>
      </c>
      <c r="I76">
        <v>8.6</v>
      </c>
      <c r="J76">
        <v>0.98</v>
      </c>
      <c r="K76" t="s">
        <v>18</v>
      </c>
      <c r="L76">
        <v>8</v>
      </c>
      <c r="M76">
        <v>9</v>
      </c>
      <c r="N76" t="s">
        <v>30</v>
      </c>
      <c r="O76">
        <f t="shared" si="2"/>
        <v>809.58</v>
      </c>
      <c r="P76" t="str">
        <f t="shared" si="3"/>
        <v>June</v>
      </c>
    </row>
    <row r="77" spans="1:16" x14ac:dyDescent="0.25">
      <c r="A77" t="s">
        <v>109</v>
      </c>
      <c r="B77">
        <v>43</v>
      </c>
      <c r="C77" t="s">
        <v>21</v>
      </c>
      <c r="D77" t="s">
        <v>52</v>
      </c>
      <c r="E77" s="2">
        <v>45660</v>
      </c>
      <c r="F77" t="s">
        <v>29</v>
      </c>
      <c r="G77">
        <v>100</v>
      </c>
      <c r="H77">
        <v>1</v>
      </c>
      <c r="I77">
        <v>117.42</v>
      </c>
      <c r="J77">
        <v>27.64</v>
      </c>
      <c r="K77" t="s">
        <v>18</v>
      </c>
      <c r="L77">
        <v>5.5</v>
      </c>
      <c r="M77">
        <v>8</v>
      </c>
      <c r="N77" t="s">
        <v>19</v>
      </c>
      <c r="O77">
        <f t="shared" si="2"/>
        <v>245.06</v>
      </c>
      <c r="P77" t="str">
        <f t="shared" si="3"/>
        <v>January</v>
      </c>
    </row>
    <row r="78" spans="1:16" x14ac:dyDescent="0.25">
      <c r="A78" t="s">
        <v>110</v>
      </c>
      <c r="B78">
        <v>61</v>
      </c>
      <c r="C78" t="s">
        <v>21</v>
      </c>
      <c r="D78" t="s">
        <v>27</v>
      </c>
      <c r="E78" s="2">
        <v>45885</v>
      </c>
      <c r="F78" t="s">
        <v>41</v>
      </c>
      <c r="G78">
        <v>60</v>
      </c>
      <c r="H78">
        <v>3</v>
      </c>
      <c r="I78">
        <v>44.99</v>
      </c>
      <c r="J78">
        <v>46.159499999999987</v>
      </c>
      <c r="K78" t="s">
        <v>18</v>
      </c>
      <c r="L78">
        <v>8.3000000000000007</v>
      </c>
      <c r="M78">
        <v>10</v>
      </c>
      <c r="N78" t="s">
        <v>25</v>
      </c>
      <c r="O78">
        <f t="shared" si="2"/>
        <v>271.14949999999999</v>
      </c>
      <c r="P78" t="str">
        <f t="shared" si="3"/>
        <v>August</v>
      </c>
    </row>
    <row r="79" spans="1:16" x14ac:dyDescent="0.25">
      <c r="A79" t="s">
        <v>111</v>
      </c>
      <c r="B79">
        <v>51</v>
      </c>
      <c r="C79" t="s">
        <v>21</v>
      </c>
      <c r="D79" t="s">
        <v>16</v>
      </c>
      <c r="E79" s="2">
        <v>45830</v>
      </c>
      <c r="F79" t="s">
        <v>29</v>
      </c>
      <c r="G79">
        <v>100</v>
      </c>
      <c r="H79">
        <v>3</v>
      </c>
      <c r="I79">
        <v>63.91</v>
      </c>
      <c r="J79">
        <v>27.11</v>
      </c>
      <c r="K79" t="s">
        <v>18</v>
      </c>
      <c r="L79">
        <v>8.6999999999999993</v>
      </c>
      <c r="M79">
        <v>7</v>
      </c>
      <c r="N79" t="s">
        <v>19</v>
      </c>
      <c r="O79">
        <f t="shared" si="2"/>
        <v>391.02</v>
      </c>
      <c r="P79" t="str">
        <f t="shared" si="3"/>
        <v>June</v>
      </c>
    </row>
    <row r="80" spans="1:16" x14ac:dyDescent="0.25">
      <c r="A80" t="s">
        <v>112</v>
      </c>
      <c r="B80">
        <v>27</v>
      </c>
      <c r="C80" t="s">
        <v>15</v>
      </c>
      <c r="D80" t="s">
        <v>27</v>
      </c>
      <c r="E80" s="2">
        <v>45776</v>
      </c>
      <c r="F80" t="s">
        <v>29</v>
      </c>
      <c r="G80">
        <v>100</v>
      </c>
      <c r="H80">
        <v>4</v>
      </c>
      <c r="I80">
        <v>98.22</v>
      </c>
      <c r="J80">
        <v>0.41</v>
      </c>
      <c r="K80" t="s">
        <v>24</v>
      </c>
      <c r="L80">
        <v>10</v>
      </c>
      <c r="M80">
        <v>8</v>
      </c>
      <c r="N80" t="s">
        <v>34</v>
      </c>
      <c r="O80">
        <f t="shared" si="2"/>
        <v>498.63000000000005</v>
      </c>
      <c r="P80" t="str">
        <f t="shared" si="3"/>
        <v>April</v>
      </c>
    </row>
    <row r="81" spans="1:16" x14ac:dyDescent="0.25">
      <c r="A81" t="s">
        <v>113</v>
      </c>
      <c r="B81">
        <v>53</v>
      </c>
      <c r="C81" t="s">
        <v>21</v>
      </c>
      <c r="D81" t="s">
        <v>33</v>
      </c>
      <c r="E81" s="2">
        <v>45792</v>
      </c>
      <c r="F81" t="s">
        <v>23</v>
      </c>
      <c r="G81">
        <v>150</v>
      </c>
      <c r="H81">
        <v>2</v>
      </c>
      <c r="I81">
        <v>26.14</v>
      </c>
      <c r="J81">
        <v>22.76</v>
      </c>
      <c r="K81" t="s">
        <v>18</v>
      </c>
      <c r="L81">
        <v>8.6</v>
      </c>
      <c r="M81">
        <v>6</v>
      </c>
      <c r="N81" t="s">
        <v>19</v>
      </c>
      <c r="O81">
        <f t="shared" si="2"/>
        <v>348.9</v>
      </c>
      <c r="P81" t="str">
        <f t="shared" si="3"/>
        <v>May</v>
      </c>
    </row>
    <row r="82" spans="1:16" x14ac:dyDescent="0.25">
      <c r="A82" t="s">
        <v>114</v>
      </c>
      <c r="B82">
        <v>31</v>
      </c>
      <c r="C82" t="s">
        <v>15</v>
      </c>
      <c r="D82" t="s">
        <v>27</v>
      </c>
      <c r="E82" s="2">
        <v>45678</v>
      </c>
      <c r="F82" t="s">
        <v>17</v>
      </c>
      <c r="G82">
        <v>200</v>
      </c>
      <c r="H82">
        <v>4</v>
      </c>
      <c r="I82">
        <v>30.28</v>
      </c>
      <c r="J82">
        <v>4.43</v>
      </c>
      <c r="K82" t="s">
        <v>24</v>
      </c>
      <c r="L82">
        <v>5.8</v>
      </c>
      <c r="M82">
        <v>8</v>
      </c>
      <c r="N82" t="s">
        <v>30</v>
      </c>
      <c r="O82">
        <f t="shared" si="2"/>
        <v>834.70999999999992</v>
      </c>
      <c r="P82" t="str">
        <f t="shared" si="3"/>
        <v>January</v>
      </c>
    </row>
    <row r="83" spans="1:16" x14ac:dyDescent="0.25">
      <c r="A83" t="s">
        <v>115</v>
      </c>
      <c r="B83">
        <v>48</v>
      </c>
      <c r="C83" t="s">
        <v>21</v>
      </c>
      <c r="D83" t="s">
        <v>16</v>
      </c>
      <c r="E83" s="2">
        <v>45906</v>
      </c>
      <c r="F83" t="s">
        <v>17</v>
      </c>
      <c r="G83">
        <v>200</v>
      </c>
      <c r="H83">
        <v>3</v>
      </c>
      <c r="I83">
        <v>104.21</v>
      </c>
      <c r="J83">
        <v>5.6</v>
      </c>
      <c r="K83" t="s">
        <v>18</v>
      </c>
      <c r="L83">
        <v>5.8</v>
      </c>
      <c r="M83">
        <v>6</v>
      </c>
      <c r="N83" t="s">
        <v>19</v>
      </c>
      <c r="O83">
        <f t="shared" si="2"/>
        <v>709.81000000000006</v>
      </c>
      <c r="P83" t="str">
        <f t="shared" si="3"/>
        <v>September</v>
      </c>
    </row>
    <row r="84" spans="1:16" x14ac:dyDescent="0.25">
      <c r="A84" t="s">
        <v>116</v>
      </c>
      <c r="B84">
        <v>65</v>
      </c>
      <c r="C84" t="s">
        <v>15</v>
      </c>
      <c r="D84" t="s">
        <v>22</v>
      </c>
      <c r="E84" s="2">
        <v>45842</v>
      </c>
      <c r="F84" t="s">
        <v>29</v>
      </c>
      <c r="G84">
        <v>100</v>
      </c>
      <c r="H84">
        <v>3</v>
      </c>
      <c r="I84">
        <v>35.42</v>
      </c>
      <c r="J84">
        <v>26.55</v>
      </c>
      <c r="K84" t="s">
        <v>18</v>
      </c>
      <c r="L84">
        <v>9.9</v>
      </c>
      <c r="M84">
        <v>6</v>
      </c>
      <c r="N84" t="s">
        <v>25</v>
      </c>
      <c r="O84">
        <f t="shared" si="2"/>
        <v>361.97</v>
      </c>
      <c r="P84" t="str">
        <f t="shared" si="3"/>
        <v>July</v>
      </c>
    </row>
    <row r="85" spans="1:16" x14ac:dyDescent="0.25">
      <c r="A85" t="s">
        <v>117</v>
      </c>
      <c r="B85">
        <v>32</v>
      </c>
      <c r="C85" t="s">
        <v>21</v>
      </c>
      <c r="D85" t="s">
        <v>33</v>
      </c>
      <c r="E85" s="2">
        <v>45774</v>
      </c>
      <c r="F85" t="s">
        <v>17</v>
      </c>
      <c r="G85">
        <v>200</v>
      </c>
      <c r="H85">
        <v>2</v>
      </c>
      <c r="I85">
        <v>123.52</v>
      </c>
      <c r="J85">
        <v>22.92</v>
      </c>
      <c r="K85" t="s">
        <v>24</v>
      </c>
      <c r="L85">
        <v>6.8</v>
      </c>
      <c r="M85">
        <v>10</v>
      </c>
      <c r="N85" t="s">
        <v>30</v>
      </c>
      <c r="O85">
        <f t="shared" si="2"/>
        <v>546.43999999999994</v>
      </c>
      <c r="P85" t="str">
        <f t="shared" si="3"/>
        <v>April</v>
      </c>
    </row>
    <row r="86" spans="1:16" x14ac:dyDescent="0.25">
      <c r="A86" t="s">
        <v>118</v>
      </c>
      <c r="B86">
        <v>25</v>
      </c>
      <c r="C86" t="s">
        <v>21</v>
      </c>
      <c r="D86" t="s">
        <v>27</v>
      </c>
      <c r="E86" s="2">
        <v>45777</v>
      </c>
      <c r="F86" t="s">
        <v>23</v>
      </c>
      <c r="G86">
        <v>150</v>
      </c>
      <c r="H86">
        <v>2</v>
      </c>
      <c r="I86">
        <v>49.92</v>
      </c>
      <c r="J86">
        <v>28.97</v>
      </c>
      <c r="K86" t="s">
        <v>24</v>
      </c>
      <c r="L86">
        <v>5.7</v>
      </c>
      <c r="M86">
        <v>5</v>
      </c>
      <c r="N86" t="s">
        <v>34</v>
      </c>
      <c r="O86">
        <f t="shared" si="2"/>
        <v>378.89</v>
      </c>
      <c r="P86" t="str">
        <f t="shared" si="3"/>
        <v>April</v>
      </c>
    </row>
    <row r="87" spans="1:16" x14ac:dyDescent="0.25">
      <c r="A87" t="s">
        <v>119</v>
      </c>
      <c r="B87">
        <v>31</v>
      </c>
      <c r="C87" t="s">
        <v>38</v>
      </c>
      <c r="D87" t="s">
        <v>36</v>
      </c>
      <c r="E87" s="2">
        <v>45879</v>
      </c>
      <c r="F87" t="s">
        <v>29</v>
      </c>
      <c r="G87">
        <v>100</v>
      </c>
      <c r="H87">
        <v>2</v>
      </c>
      <c r="I87">
        <v>117.22</v>
      </c>
      <c r="J87">
        <v>23.06</v>
      </c>
      <c r="K87" t="s">
        <v>18</v>
      </c>
      <c r="L87">
        <v>9.5</v>
      </c>
      <c r="M87">
        <v>8</v>
      </c>
      <c r="N87" t="s">
        <v>30</v>
      </c>
      <c r="O87">
        <f t="shared" si="2"/>
        <v>340.28000000000003</v>
      </c>
      <c r="P87" t="str">
        <f t="shared" si="3"/>
        <v>August</v>
      </c>
    </row>
    <row r="88" spans="1:16" x14ac:dyDescent="0.25">
      <c r="A88" t="s">
        <v>120</v>
      </c>
      <c r="B88">
        <v>40</v>
      </c>
      <c r="C88" t="s">
        <v>21</v>
      </c>
      <c r="D88" t="s">
        <v>36</v>
      </c>
      <c r="E88" s="2">
        <v>45846</v>
      </c>
      <c r="F88" t="s">
        <v>23</v>
      </c>
      <c r="G88">
        <v>150</v>
      </c>
      <c r="H88">
        <v>4</v>
      </c>
      <c r="I88">
        <v>36.159999999999997</v>
      </c>
      <c r="J88">
        <v>17.010000000000002</v>
      </c>
      <c r="K88" t="s">
        <v>24</v>
      </c>
      <c r="L88">
        <v>7.3</v>
      </c>
      <c r="M88">
        <v>9</v>
      </c>
      <c r="N88" t="s">
        <v>19</v>
      </c>
      <c r="O88">
        <f t="shared" si="2"/>
        <v>653.16999999999996</v>
      </c>
      <c r="P88" t="str">
        <f t="shared" si="3"/>
        <v>July</v>
      </c>
    </row>
    <row r="89" spans="1:16" x14ac:dyDescent="0.25">
      <c r="A89" t="s">
        <v>121</v>
      </c>
      <c r="B89">
        <v>57</v>
      </c>
      <c r="C89" t="s">
        <v>15</v>
      </c>
      <c r="D89" t="s">
        <v>27</v>
      </c>
      <c r="E89" s="2">
        <v>45822</v>
      </c>
      <c r="F89" t="s">
        <v>23</v>
      </c>
      <c r="G89">
        <v>150</v>
      </c>
      <c r="H89">
        <v>2</v>
      </c>
      <c r="I89">
        <v>125.94</v>
      </c>
      <c r="J89">
        <v>28.04</v>
      </c>
      <c r="K89" t="s">
        <v>24</v>
      </c>
      <c r="L89">
        <v>9.4</v>
      </c>
      <c r="M89">
        <v>10</v>
      </c>
      <c r="N89" t="s">
        <v>19</v>
      </c>
      <c r="O89">
        <f t="shared" si="2"/>
        <v>453.98</v>
      </c>
      <c r="P89" t="str">
        <f t="shared" si="3"/>
        <v>June</v>
      </c>
    </row>
    <row r="90" spans="1:16" x14ac:dyDescent="0.25">
      <c r="A90" t="s">
        <v>122</v>
      </c>
      <c r="B90">
        <v>38</v>
      </c>
      <c r="C90" t="s">
        <v>21</v>
      </c>
      <c r="D90" t="s">
        <v>22</v>
      </c>
      <c r="E90" s="2">
        <v>45671</v>
      </c>
      <c r="F90" t="s">
        <v>23</v>
      </c>
      <c r="G90">
        <v>150</v>
      </c>
      <c r="H90">
        <v>3</v>
      </c>
      <c r="I90">
        <v>14.81</v>
      </c>
      <c r="J90">
        <v>3.52</v>
      </c>
      <c r="K90" t="s">
        <v>24</v>
      </c>
      <c r="L90">
        <v>6.6</v>
      </c>
      <c r="M90">
        <v>8</v>
      </c>
      <c r="N90" t="s">
        <v>30</v>
      </c>
      <c r="O90">
        <f t="shared" si="2"/>
        <v>468.33</v>
      </c>
      <c r="P90" t="str">
        <f t="shared" si="3"/>
        <v>January</v>
      </c>
    </row>
    <row r="91" spans="1:16" x14ac:dyDescent="0.25">
      <c r="A91" t="s">
        <v>123</v>
      </c>
      <c r="B91">
        <v>33</v>
      </c>
      <c r="C91" t="s">
        <v>15</v>
      </c>
      <c r="D91" t="s">
        <v>52</v>
      </c>
      <c r="E91" s="2">
        <v>45866</v>
      </c>
      <c r="F91" t="s">
        <v>41</v>
      </c>
      <c r="G91">
        <v>60</v>
      </c>
      <c r="H91">
        <v>3</v>
      </c>
      <c r="I91">
        <v>68.430000000000007</v>
      </c>
      <c r="J91">
        <v>33.729999999999997</v>
      </c>
      <c r="K91" t="s">
        <v>18</v>
      </c>
      <c r="L91">
        <v>10</v>
      </c>
      <c r="M91">
        <v>8</v>
      </c>
      <c r="N91" t="s">
        <v>30</v>
      </c>
      <c r="O91">
        <f t="shared" si="2"/>
        <v>282.16000000000003</v>
      </c>
      <c r="P91" t="str">
        <f t="shared" si="3"/>
        <v>July</v>
      </c>
    </row>
    <row r="92" spans="1:16" x14ac:dyDescent="0.25">
      <c r="A92" t="s">
        <v>124</v>
      </c>
      <c r="B92">
        <v>62</v>
      </c>
      <c r="C92" t="s">
        <v>15</v>
      </c>
      <c r="D92" t="s">
        <v>16</v>
      </c>
      <c r="E92" s="2">
        <v>45849</v>
      </c>
      <c r="F92" t="s">
        <v>29</v>
      </c>
      <c r="G92">
        <v>100</v>
      </c>
      <c r="H92">
        <v>1</v>
      </c>
      <c r="I92">
        <v>33.82</v>
      </c>
      <c r="J92">
        <v>4.59</v>
      </c>
      <c r="K92" t="s">
        <v>24</v>
      </c>
      <c r="L92">
        <v>9.3000000000000007</v>
      </c>
      <c r="M92">
        <v>8</v>
      </c>
      <c r="N92" t="s">
        <v>25</v>
      </c>
      <c r="O92">
        <f t="shared" si="2"/>
        <v>138.41</v>
      </c>
      <c r="P92" t="str">
        <f t="shared" si="3"/>
        <v>July</v>
      </c>
    </row>
    <row r="93" spans="1:16" x14ac:dyDescent="0.25">
      <c r="A93" t="s">
        <v>125</v>
      </c>
      <c r="B93">
        <v>35</v>
      </c>
      <c r="C93" t="s">
        <v>15</v>
      </c>
      <c r="D93" t="s">
        <v>36</v>
      </c>
      <c r="E93" s="2">
        <v>45905</v>
      </c>
      <c r="F93" t="s">
        <v>29</v>
      </c>
      <c r="G93">
        <v>100</v>
      </c>
      <c r="H93">
        <v>4</v>
      </c>
      <c r="I93">
        <v>48.83</v>
      </c>
      <c r="J93">
        <v>22.19</v>
      </c>
      <c r="K93" t="s">
        <v>24</v>
      </c>
      <c r="L93">
        <v>6.9</v>
      </c>
      <c r="M93">
        <v>10</v>
      </c>
      <c r="N93" t="s">
        <v>30</v>
      </c>
      <c r="O93">
        <f t="shared" si="2"/>
        <v>471.02</v>
      </c>
      <c r="P93" t="str">
        <f t="shared" si="3"/>
        <v>September</v>
      </c>
    </row>
    <row r="94" spans="1:16" x14ac:dyDescent="0.25">
      <c r="A94" t="s">
        <v>126</v>
      </c>
      <c r="B94">
        <v>64</v>
      </c>
      <c r="C94" t="s">
        <v>21</v>
      </c>
      <c r="D94" t="s">
        <v>52</v>
      </c>
      <c r="E94" s="2">
        <v>45833</v>
      </c>
      <c r="F94" t="s">
        <v>17</v>
      </c>
      <c r="G94">
        <v>200</v>
      </c>
      <c r="H94">
        <v>1</v>
      </c>
      <c r="I94">
        <v>84.34</v>
      </c>
      <c r="J94">
        <v>41.46</v>
      </c>
      <c r="K94" t="s">
        <v>24</v>
      </c>
      <c r="L94">
        <v>5.5</v>
      </c>
      <c r="M94">
        <v>9</v>
      </c>
      <c r="N94" t="s">
        <v>25</v>
      </c>
      <c r="O94">
        <f t="shared" si="2"/>
        <v>325.8</v>
      </c>
      <c r="P94" t="str">
        <f t="shared" si="3"/>
        <v>June</v>
      </c>
    </row>
    <row r="95" spans="1:16" x14ac:dyDescent="0.25">
      <c r="A95" t="s">
        <v>127</v>
      </c>
      <c r="B95">
        <v>41</v>
      </c>
      <c r="C95" t="s">
        <v>21</v>
      </c>
      <c r="D95" t="s">
        <v>27</v>
      </c>
      <c r="E95" s="2">
        <v>45741</v>
      </c>
      <c r="F95" t="s">
        <v>41</v>
      </c>
      <c r="G95">
        <v>60</v>
      </c>
      <c r="H95">
        <v>3</v>
      </c>
      <c r="I95">
        <v>44.1</v>
      </c>
      <c r="J95">
        <v>6.14</v>
      </c>
      <c r="K95" t="s">
        <v>18</v>
      </c>
      <c r="L95">
        <v>10</v>
      </c>
      <c r="M95">
        <v>7</v>
      </c>
      <c r="N95" t="s">
        <v>19</v>
      </c>
      <c r="O95">
        <f t="shared" si="2"/>
        <v>230.23999999999998</v>
      </c>
      <c r="P95" t="str">
        <f t="shared" si="3"/>
        <v>March</v>
      </c>
    </row>
    <row r="96" spans="1:16" x14ac:dyDescent="0.25">
      <c r="A96" t="s">
        <v>128</v>
      </c>
      <c r="B96">
        <v>43</v>
      </c>
      <c r="C96" t="s">
        <v>15</v>
      </c>
      <c r="D96" t="s">
        <v>52</v>
      </c>
      <c r="E96" s="2">
        <v>45794</v>
      </c>
      <c r="F96" t="s">
        <v>29</v>
      </c>
      <c r="G96">
        <v>100</v>
      </c>
      <c r="H96">
        <v>1</v>
      </c>
      <c r="I96">
        <v>91.02</v>
      </c>
      <c r="J96">
        <v>29.71</v>
      </c>
      <c r="K96" t="s">
        <v>18</v>
      </c>
      <c r="L96">
        <v>7.7</v>
      </c>
      <c r="M96">
        <v>10</v>
      </c>
      <c r="N96" t="s">
        <v>19</v>
      </c>
      <c r="O96">
        <f t="shared" si="2"/>
        <v>220.73</v>
      </c>
      <c r="P96" t="str">
        <f t="shared" si="3"/>
        <v>May</v>
      </c>
    </row>
    <row r="97" spans="1:16" x14ac:dyDescent="0.25">
      <c r="A97" t="s">
        <v>129</v>
      </c>
      <c r="B97">
        <v>42</v>
      </c>
      <c r="C97" t="s">
        <v>21</v>
      </c>
      <c r="D97" t="s">
        <v>33</v>
      </c>
      <c r="E97" s="2">
        <v>45845</v>
      </c>
      <c r="F97" t="s">
        <v>23</v>
      </c>
      <c r="G97">
        <v>150</v>
      </c>
      <c r="H97">
        <v>3</v>
      </c>
      <c r="I97">
        <v>97.02</v>
      </c>
      <c r="J97">
        <v>27.13</v>
      </c>
      <c r="K97" t="s">
        <v>18</v>
      </c>
      <c r="L97">
        <v>6.9</v>
      </c>
      <c r="M97">
        <v>7</v>
      </c>
      <c r="N97" t="s">
        <v>19</v>
      </c>
      <c r="O97">
        <f t="shared" si="2"/>
        <v>574.15</v>
      </c>
      <c r="P97" t="str">
        <f t="shared" si="3"/>
        <v>July</v>
      </c>
    </row>
    <row r="98" spans="1:16" x14ac:dyDescent="0.25">
      <c r="A98" t="s">
        <v>130</v>
      </c>
      <c r="B98">
        <v>62</v>
      </c>
      <c r="C98" t="s">
        <v>15</v>
      </c>
      <c r="D98" t="s">
        <v>40</v>
      </c>
      <c r="E98" s="2">
        <v>45799</v>
      </c>
      <c r="F98" t="s">
        <v>41</v>
      </c>
      <c r="G98">
        <v>60</v>
      </c>
      <c r="H98">
        <v>1</v>
      </c>
      <c r="I98">
        <v>46.07</v>
      </c>
      <c r="J98">
        <v>18.75</v>
      </c>
      <c r="K98" t="s">
        <v>18</v>
      </c>
      <c r="L98">
        <v>10</v>
      </c>
      <c r="M98">
        <v>6</v>
      </c>
      <c r="N98" t="s">
        <v>25</v>
      </c>
      <c r="O98">
        <f t="shared" si="2"/>
        <v>124.82</v>
      </c>
      <c r="P98" t="str">
        <f t="shared" si="3"/>
        <v>May</v>
      </c>
    </row>
    <row r="99" spans="1:16" x14ac:dyDescent="0.25">
      <c r="A99" t="s">
        <v>131</v>
      </c>
      <c r="B99">
        <v>58</v>
      </c>
      <c r="C99" t="s">
        <v>15</v>
      </c>
      <c r="D99" t="s">
        <v>36</v>
      </c>
      <c r="E99" s="2">
        <v>45875</v>
      </c>
      <c r="F99" t="s">
        <v>23</v>
      </c>
      <c r="G99">
        <v>150</v>
      </c>
      <c r="H99">
        <v>2</v>
      </c>
      <c r="I99">
        <v>86.69</v>
      </c>
      <c r="J99">
        <v>2.4300000000000002</v>
      </c>
      <c r="K99" t="s">
        <v>24</v>
      </c>
      <c r="L99">
        <v>9.4</v>
      </c>
      <c r="M99">
        <v>6</v>
      </c>
      <c r="N99" t="s">
        <v>19</v>
      </c>
      <c r="O99">
        <f t="shared" si="2"/>
        <v>389.12</v>
      </c>
      <c r="P99" t="str">
        <f t="shared" si="3"/>
        <v>August</v>
      </c>
    </row>
    <row r="100" spans="1:16" x14ac:dyDescent="0.25">
      <c r="A100" t="s">
        <v>132</v>
      </c>
      <c r="B100">
        <v>46</v>
      </c>
      <c r="C100" t="s">
        <v>15</v>
      </c>
      <c r="D100" t="s">
        <v>27</v>
      </c>
      <c r="E100" s="2">
        <v>45691</v>
      </c>
      <c r="F100" t="s">
        <v>29</v>
      </c>
      <c r="G100">
        <v>100</v>
      </c>
      <c r="H100">
        <v>1</v>
      </c>
      <c r="I100">
        <v>40.21</v>
      </c>
      <c r="J100">
        <v>22.55</v>
      </c>
      <c r="K100" t="s">
        <v>18</v>
      </c>
      <c r="L100">
        <v>9.8000000000000007</v>
      </c>
      <c r="M100">
        <v>8</v>
      </c>
      <c r="N100" t="s">
        <v>19</v>
      </c>
      <c r="O100">
        <f t="shared" si="2"/>
        <v>162.76000000000002</v>
      </c>
      <c r="P100" t="str">
        <f t="shared" si="3"/>
        <v>February</v>
      </c>
    </row>
    <row r="101" spans="1:16" x14ac:dyDescent="0.25">
      <c r="A101" t="s">
        <v>133</v>
      </c>
      <c r="B101">
        <v>32</v>
      </c>
      <c r="C101" t="s">
        <v>15</v>
      </c>
      <c r="D101" t="s">
        <v>16</v>
      </c>
      <c r="E101" s="2">
        <v>45700</v>
      </c>
      <c r="F101" t="s">
        <v>29</v>
      </c>
      <c r="G101">
        <v>100</v>
      </c>
      <c r="H101">
        <v>2</v>
      </c>
      <c r="I101">
        <v>56.27</v>
      </c>
      <c r="J101">
        <v>19.32</v>
      </c>
      <c r="K101" t="s">
        <v>18</v>
      </c>
      <c r="L101">
        <v>7.9</v>
      </c>
      <c r="M101">
        <v>8</v>
      </c>
      <c r="N101" t="s">
        <v>30</v>
      </c>
      <c r="O101">
        <f t="shared" si="2"/>
        <v>275.58999999999997</v>
      </c>
      <c r="P101" t="str">
        <f t="shared" si="3"/>
        <v>February</v>
      </c>
    </row>
    <row r="102" spans="1:16" x14ac:dyDescent="0.25">
      <c r="A102" t="s">
        <v>134</v>
      </c>
      <c r="B102">
        <v>62</v>
      </c>
      <c r="C102" t="s">
        <v>21</v>
      </c>
      <c r="D102" t="s">
        <v>22</v>
      </c>
      <c r="E102" s="2">
        <v>45765</v>
      </c>
      <c r="F102" t="s">
        <v>23</v>
      </c>
      <c r="G102">
        <v>150</v>
      </c>
      <c r="H102">
        <v>2</v>
      </c>
      <c r="I102">
        <v>77.84</v>
      </c>
      <c r="J102">
        <v>31.16</v>
      </c>
      <c r="K102" t="s">
        <v>24</v>
      </c>
      <c r="L102">
        <v>10</v>
      </c>
      <c r="M102">
        <v>9</v>
      </c>
      <c r="N102" t="s">
        <v>25</v>
      </c>
      <c r="O102">
        <f t="shared" si="2"/>
        <v>409.00000000000006</v>
      </c>
      <c r="P102" t="str">
        <f t="shared" si="3"/>
        <v>April</v>
      </c>
    </row>
    <row r="103" spans="1:16" x14ac:dyDescent="0.25">
      <c r="A103" t="s">
        <v>135</v>
      </c>
      <c r="B103">
        <v>18</v>
      </c>
      <c r="C103" t="s">
        <v>21</v>
      </c>
      <c r="D103" t="s">
        <v>33</v>
      </c>
      <c r="E103" s="2">
        <v>45721</v>
      </c>
      <c r="F103" t="s">
        <v>41</v>
      </c>
      <c r="G103">
        <v>60</v>
      </c>
      <c r="H103">
        <v>4</v>
      </c>
      <c r="I103">
        <v>31.15</v>
      </c>
      <c r="J103">
        <v>6.28</v>
      </c>
      <c r="K103" t="s">
        <v>18</v>
      </c>
      <c r="L103">
        <v>6</v>
      </c>
      <c r="M103">
        <v>9</v>
      </c>
      <c r="N103" t="s">
        <v>34</v>
      </c>
      <c r="O103">
        <f t="shared" si="2"/>
        <v>277.42999999999995</v>
      </c>
      <c r="P103" t="str">
        <f t="shared" si="3"/>
        <v>March</v>
      </c>
    </row>
    <row r="104" spans="1:16" x14ac:dyDescent="0.25">
      <c r="A104" t="s">
        <v>136</v>
      </c>
      <c r="B104">
        <v>42</v>
      </c>
      <c r="C104" t="s">
        <v>21</v>
      </c>
      <c r="D104" t="s">
        <v>27</v>
      </c>
      <c r="E104" s="2">
        <v>45867</v>
      </c>
      <c r="F104" t="s">
        <v>41</v>
      </c>
      <c r="G104">
        <v>60</v>
      </c>
      <c r="H104">
        <v>2</v>
      </c>
      <c r="I104">
        <v>12.86</v>
      </c>
      <c r="J104">
        <v>40.04</v>
      </c>
      <c r="K104" t="s">
        <v>18</v>
      </c>
      <c r="L104">
        <v>7.2</v>
      </c>
      <c r="M104">
        <v>8</v>
      </c>
      <c r="N104" t="s">
        <v>19</v>
      </c>
      <c r="O104">
        <f t="shared" si="2"/>
        <v>172.9</v>
      </c>
      <c r="P104" t="str">
        <f t="shared" si="3"/>
        <v>July</v>
      </c>
    </row>
    <row r="105" spans="1:16" x14ac:dyDescent="0.25">
      <c r="A105" t="s">
        <v>137</v>
      </c>
      <c r="B105">
        <v>24</v>
      </c>
      <c r="C105" t="s">
        <v>15</v>
      </c>
      <c r="D105" t="s">
        <v>16</v>
      </c>
      <c r="E105" s="2">
        <v>45783</v>
      </c>
      <c r="F105" t="s">
        <v>29</v>
      </c>
      <c r="G105">
        <v>100</v>
      </c>
      <c r="H105">
        <v>2</v>
      </c>
      <c r="I105">
        <v>25.45</v>
      </c>
      <c r="J105">
        <v>18.420000000000002</v>
      </c>
      <c r="K105" t="s">
        <v>18</v>
      </c>
      <c r="L105">
        <v>8.6</v>
      </c>
      <c r="M105">
        <v>10</v>
      </c>
      <c r="N105" t="s">
        <v>34</v>
      </c>
      <c r="O105">
        <f t="shared" si="2"/>
        <v>243.87</v>
      </c>
      <c r="P105" t="str">
        <f t="shared" si="3"/>
        <v>May</v>
      </c>
    </row>
    <row r="106" spans="1:16" x14ac:dyDescent="0.25">
      <c r="A106" t="s">
        <v>138</v>
      </c>
      <c r="B106">
        <v>26</v>
      </c>
      <c r="C106" t="s">
        <v>15</v>
      </c>
      <c r="D106" t="s">
        <v>22</v>
      </c>
      <c r="E106" s="2">
        <v>45666</v>
      </c>
      <c r="F106" t="s">
        <v>23</v>
      </c>
      <c r="G106">
        <v>150</v>
      </c>
      <c r="H106">
        <v>1</v>
      </c>
      <c r="I106">
        <v>33.78</v>
      </c>
      <c r="J106">
        <v>15.68</v>
      </c>
      <c r="K106" t="s">
        <v>18</v>
      </c>
      <c r="L106">
        <v>9.8000000000000007</v>
      </c>
      <c r="M106">
        <v>8</v>
      </c>
      <c r="N106" t="s">
        <v>34</v>
      </c>
      <c r="O106">
        <f t="shared" si="2"/>
        <v>199.46</v>
      </c>
      <c r="P106" t="str">
        <f t="shared" si="3"/>
        <v>January</v>
      </c>
    </row>
    <row r="107" spans="1:16" x14ac:dyDescent="0.25">
      <c r="A107" t="s">
        <v>139</v>
      </c>
      <c r="B107">
        <v>41</v>
      </c>
      <c r="C107" t="s">
        <v>15</v>
      </c>
      <c r="D107" t="s">
        <v>22</v>
      </c>
      <c r="E107" s="2">
        <v>45679</v>
      </c>
      <c r="F107" t="s">
        <v>17</v>
      </c>
      <c r="G107">
        <v>200</v>
      </c>
      <c r="H107">
        <v>3</v>
      </c>
      <c r="I107">
        <v>101.63</v>
      </c>
      <c r="J107">
        <v>41.37</v>
      </c>
      <c r="K107" t="s">
        <v>18</v>
      </c>
      <c r="L107">
        <v>9</v>
      </c>
      <c r="M107">
        <v>6</v>
      </c>
      <c r="N107" t="s">
        <v>19</v>
      </c>
      <c r="O107">
        <f t="shared" si="2"/>
        <v>743</v>
      </c>
      <c r="P107" t="str">
        <f t="shared" si="3"/>
        <v>January</v>
      </c>
    </row>
    <row r="108" spans="1:16" x14ac:dyDescent="0.25">
      <c r="A108" t="s">
        <v>140</v>
      </c>
      <c r="B108">
        <v>18</v>
      </c>
      <c r="C108" t="s">
        <v>21</v>
      </c>
      <c r="D108" t="s">
        <v>27</v>
      </c>
      <c r="E108" s="2">
        <v>45779</v>
      </c>
      <c r="F108" t="s">
        <v>23</v>
      </c>
      <c r="G108">
        <v>150</v>
      </c>
      <c r="H108">
        <v>4</v>
      </c>
      <c r="I108">
        <v>38.46</v>
      </c>
      <c r="J108">
        <v>33.880000000000003</v>
      </c>
      <c r="K108" t="s">
        <v>24</v>
      </c>
      <c r="L108">
        <v>7.9</v>
      </c>
      <c r="M108">
        <v>6</v>
      </c>
      <c r="N108" t="s">
        <v>34</v>
      </c>
      <c r="O108">
        <f t="shared" si="2"/>
        <v>672.34</v>
      </c>
      <c r="P108" t="str">
        <f t="shared" si="3"/>
        <v>May</v>
      </c>
    </row>
    <row r="109" spans="1:16" x14ac:dyDescent="0.25">
      <c r="A109" t="s">
        <v>141</v>
      </c>
      <c r="B109">
        <v>61</v>
      </c>
      <c r="C109" t="s">
        <v>15</v>
      </c>
      <c r="D109" t="s">
        <v>33</v>
      </c>
      <c r="E109" s="2">
        <v>45668</v>
      </c>
      <c r="F109" t="s">
        <v>41</v>
      </c>
      <c r="G109">
        <v>60</v>
      </c>
      <c r="H109">
        <v>2</v>
      </c>
      <c r="I109">
        <v>87.99</v>
      </c>
      <c r="J109">
        <v>33.44</v>
      </c>
      <c r="K109" t="s">
        <v>18</v>
      </c>
      <c r="L109">
        <v>7.3</v>
      </c>
      <c r="M109">
        <v>10</v>
      </c>
      <c r="N109" t="s">
        <v>25</v>
      </c>
      <c r="O109">
        <f t="shared" si="2"/>
        <v>241.43</v>
      </c>
      <c r="P109" t="str">
        <f t="shared" si="3"/>
        <v>January</v>
      </c>
    </row>
    <row r="110" spans="1:16" x14ac:dyDescent="0.25">
      <c r="A110" t="s">
        <v>142</v>
      </c>
      <c r="B110">
        <v>25</v>
      </c>
      <c r="C110" t="s">
        <v>21</v>
      </c>
      <c r="D110" t="s">
        <v>52</v>
      </c>
      <c r="E110" s="2">
        <v>45673</v>
      </c>
      <c r="F110" t="s">
        <v>23</v>
      </c>
      <c r="G110">
        <v>150</v>
      </c>
      <c r="H110">
        <v>4</v>
      </c>
      <c r="I110">
        <v>3.21</v>
      </c>
      <c r="J110">
        <v>8.0500000000000007</v>
      </c>
      <c r="K110" t="s">
        <v>18</v>
      </c>
      <c r="L110">
        <v>9.8000000000000007</v>
      </c>
      <c r="M110">
        <v>5</v>
      </c>
      <c r="N110" t="s">
        <v>34</v>
      </c>
      <c r="O110">
        <f t="shared" si="2"/>
        <v>611.26</v>
      </c>
      <c r="P110" t="str">
        <f t="shared" si="3"/>
        <v>January</v>
      </c>
    </row>
    <row r="111" spans="1:16" x14ac:dyDescent="0.25">
      <c r="A111" t="s">
        <v>143</v>
      </c>
      <c r="B111">
        <v>41</v>
      </c>
      <c r="C111" t="s">
        <v>38</v>
      </c>
      <c r="D111" t="s">
        <v>52</v>
      </c>
      <c r="E111" s="2">
        <v>45711</v>
      </c>
      <c r="F111" t="s">
        <v>29</v>
      </c>
      <c r="G111">
        <v>100</v>
      </c>
      <c r="H111">
        <v>1</v>
      </c>
      <c r="I111">
        <v>19.04</v>
      </c>
      <c r="J111">
        <v>25.39</v>
      </c>
      <c r="K111" t="s">
        <v>18</v>
      </c>
      <c r="L111">
        <v>9.1</v>
      </c>
      <c r="M111">
        <v>8</v>
      </c>
      <c r="N111" t="s">
        <v>19</v>
      </c>
      <c r="O111">
        <f t="shared" si="2"/>
        <v>144.43</v>
      </c>
      <c r="P111" t="str">
        <f t="shared" si="3"/>
        <v>February</v>
      </c>
    </row>
    <row r="112" spans="1:16" x14ac:dyDescent="0.25">
      <c r="A112" t="s">
        <v>144</v>
      </c>
      <c r="B112">
        <v>28</v>
      </c>
      <c r="C112" t="s">
        <v>21</v>
      </c>
      <c r="D112" t="s">
        <v>22</v>
      </c>
      <c r="E112" s="2">
        <v>45761</v>
      </c>
      <c r="F112" t="s">
        <v>41</v>
      </c>
      <c r="G112">
        <v>60</v>
      </c>
      <c r="H112">
        <v>2</v>
      </c>
      <c r="I112">
        <v>35.54</v>
      </c>
      <c r="J112">
        <v>3.43</v>
      </c>
      <c r="K112" t="s">
        <v>18</v>
      </c>
      <c r="L112">
        <v>6.7</v>
      </c>
      <c r="M112">
        <v>10</v>
      </c>
      <c r="N112" t="s">
        <v>34</v>
      </c>
      <c r="O112">
        <f t="shared" si="2"/>
        <v>158.97</v>
      </c>
      <c r="P112" t="str">
        <f t="shared" si="3"/>
        <v>April</v>
      </c>
    </row>
    <row r="113" spans="1:16" x14ac:dyDescent="0.25">
      <c r="A113" t="s">
        <v>145</v>
      </c>
      <c r="B113">
        <v>68</v>
      </c>
      <c r="C113" t="s">
        <v>38</v>
      </c>
      <c r="D113" t="s">
        <v>52</v>
      </c>
      <c r="E113" s="2">
        <v>45857</v>
      </c>
      <c r="F113" t="s">
        <v>17</v>
      </c>
      <c r="G113">
        <v>200</v>
      </c>
      <c r="H113">
        <v>1</v>
      </c>
      <c r="I113">
        <v>130.66999999999999</v>
      </c>
      <c r="J113">
        <v>9.49</v>
      </c>
      <c r="K113" t="s">
        <v>18</v>
      </c>
      <c r="L113">
        <v>6.6</v>
      </c>
      <c r="M113">
        <v>9</v>
      </c>
      <c r="N113" t="s">
        <v>25</v>
      </c>
      <c r="O113">
        <f t="shared" si="2"/>
        <v>340.15999999999997</v>
      </c>
      <c r="P113" t="str">
        <f t="shared" si="3"/>
        <v>July</v>
      </c>
    </row>
    <row r="114" spans="1:16" x14ac:dyDescent="0.25">
      <c r="A114" t="s">
        <v>146</v>
      </c>
      <c r="B114">
        <v>34</v>
      </c>
      <c r="C114" t="s">
        <v>15</v>
      </c>
      <c r="D114" t="s">
        <v>40</v>
      </c>
      <c r="E114" s="2">
        <v>45706</v>
      </c>
      <c r="F114" t="s">
        <v>29</v>
      </c>
      <c r="G114">
        <v>100</v>
      </c>
      <c r="H114">
        <v>4</v>
      </c>
      <c r="I114">
        <v>56.5</v>
      </c>
      <c r="J114">
        <v>10.14</v>
      </c>
      <c r="K114" t="s">
        <v>18</v>
      </c>
      <c r="L114">
        <v>7.2</v>
      </c>
      <c r="M114">
        <v>8</v>
      </c>
      <c r="N114" t="s">
        <v>30</v>
      </c>
      <c r="O114">
        <f t="shared" si="2"/>
        <v>466.64</v>
      </c>
      <c r="P114" t="str">
        <f t="shared" si="3"/>
        <v>February</v>
      </c>
    </row>
    <row r="115" spans="1:16" x14ac:dyDescent="0.25">
      <c r="A115" t="s">
        <v>147</v>
      </c>
      <c r="B115">
        <v>25</v>
      </c>
      <c r="C115" t="s">
        <v>21</v>
      </c>
      <c r="D115" t="s">
        <v>22</v>
      </c>
      <c r="E115" s="2">
        <v>45893</v>
      </c>
      <c r="F115" t="s">
        <v>17</v>
      </c>
      <c r="G115">
        <v>200</v>
      </c>
      <c r="H115">
        <v>1</v>
      </c>
      <c r="I115">
        <v>20.66</v>
      </c>
      <c r="J115">
        <v>28.59</v>
      </c>
      <c r="K115" t="s">
        <v>18</v>
      </c>
      <c r="L115">
        <v>7</v>
      </c>
      <c r="M115">
        <v>6</v>
      </c>
      <c r="N115" t="s">
        <v>34</v>
      </c>
      <c r="O115">
        <f t="shared" si="2"/>
        <v>249.25</v>
      </c>
      <c r="P115" t="str">
        <f t="shared" si="3"/>
        <v>August</v>
      </c>
    </row>
    <row r="116" spans="1:16" x14ac:dyDescent="0.25">
      <c r="A116" t="s">
        <v>148</v>
      </c>
      <c r="B116">
        <v>52</v>
      </c>
      <c r="C116" t="s">
        <v>21</v>
      </c>
      <c r="D116" t="s">
        <v>22</v>
      </c>
      <c r="E116" s="2">
        <v>45886</v>
      </c>
      <c r="F116" t="s">
        <v>41</v>
      </c>
      <c r="G116">
        <v>60</v>
      </c>
      <c r="H116">
        <v>4</v>
      </c>
      <c r="I116">
        <v>7.86</v>
      </c>
      <c r="J116">
        <v>36.69</v>
      </c>
      <c r="K116" t="s">
        <v>24</v>
      </c>
      <c r="L116">
        <v>9.5</v>
      </c>
      <c r="M116">
        <v>10</v>
      </c>
      <c r="N116" t="s">
        <v>19</v>
      </c>
      <c r="O116">
        <f t="shared" si="2"/>
        <v>284.55</v>
      </c>
      <c r="P116" t="str">
        <f t="shared" si="3"/>
        <v>August</v>
      </c>
    </row>
    <row r="117" spans="1:16" x14ac:dyDescent="0.25">
      <c r="A117" t="s">
        <v>149</v>
      </c>
      <c r="B117">
        <v>52</v>
      </c>
      <c r="C117" t="s">
        <v>21</v>
      </c>
      <c r="D117" t="s">
        <v>16</v>
      </c>
      <c r="E117" s="2">
        <v>45676</v>
      </c>
      <c r="F117" t="s">
        <v>29</v>
      </c>
      <c r="G117">
        <v>100</v>
      </c>
      <c r="H117">
        <v>1</v>
      </c>
      <c r="I117">
        <v>63.15</v>
      </c>
      <c r="J117">
        <v>16.95</v>
      </c>
      <c r="K117" t="s">
        <v>18</v>
      </c>
      <c r="L117">
        <v>8.6999999999999993</v>
      </c>
      <c r="M117">
        <v>10</v>
      </c>
      <c r="N117" t="s">
        <v>19</v>
      </c>
      <c r="O117">
        <f t="shared" si="2"/>
        <v>180.1</v>
      </c>
      <c r="P117" t="str">
        <f t="shared" si="3"/>
        <v>January</v>
      </c>
    </row>
    <row r="118" spans="1:16" x14ac:dyDescent="0.25">
      <c r="A118" t="s">
        <v>150</v>
      </c>
      <c r="B118">
        <v>50</v>
      </c>
      <c r="C118" t="s">
        <v>15</v>
      </c>
      <c r="D118" t="s">
        <v>52</v>
      </c>
      <c r="E118" s="2">
        <v>45845</v>
      </c>
      <c r="F118" t="s">
        <v>23</v>
      </c>
      <c r="G118">
        <v>150</v>
      </c>
      <c r="H118">
        <v>4</v>
      </c>
      <c r="I118">
        <v>23.04</v>
      </c>
      <c r="J118">
        <v>13.69</v>
      </c>
      <c r="K118" t="s">
        <v>18</v>
      </c>
      <c r="L118">
        <v>8.8000000000000007</v>
      </c>
      <c r="M118">
        <v>9</v>
      </c>
      <c r="N118" t="s">
        <v>19</v>
      </c>
      <c r="O118">
        <f t="shared" si="2"/>
        <v>636.73</v>
      </c>
      <c r="P118" t="str">
        <f t="shared" si="3"/>
        <v>July</v>
      </c>
    </row>
    <row r="119" spans="1:16" x14ac:dyDescent="0.25">
      <c r="A119" t="s">
        <v>151</v>
      </c>
      <c r="B119">
        <v>22</v>
      </c>
      <c r="C119" t="s">
        <v>15</v>
      </c>
      <c r="D119" t="s">
        <v>33</v>
      </c>
      <c r="E119" s="2">
        <v>45880</v>
      </c>
      <c r="F119" t="s">
        <v>23</v>
      </c>
      <c r="G119">
        <v>150</v>
      </c>
      <c r="H119">
        <v>3</v>
      </c>
      <c r="I119">
        <v>28.3</v>
      </c>
      <c r="J119">
        <v>30.45</v>
      </c>
      <c r="K119" t="s">
        <v>24</v>
      </c>
      <c r="L119">
        <v>8.3000000000000007</v>
      </c>
      <c r="M119">
        <v>8</v>
      </c>
      <c r="N119" t="s">
        <v>34</v>
      </c>
      <c r="O119">
        <f t="shared" si="2"/>
        <v>508.75</v>
      </c>
      <c r="P119" t="str">
        <f t="shared" si="3"/>
        <v>August</v>
      </c>
    </row>
    <row r="120" spans="1:16" x14ac:dyDescent="0.25">
      <c r="A120" t="s">
        <v>152</v>
      </c>
      <c r="B120">
        <v>59</v>
      </c>
      <c r="C120" t="s">
        <v>15</v>
      </c>
      <c r="D120" t="s">
        <v>22</v>
      </c>
      <c r="E120" s="2">
        <v>45788</v>
      </c>
      <c r="F120" t="s">
        <v>29</v>
      </c>
      <c r="G120">
        <v>100</v>
      </c>
      <c r="H120">
        <v>1</v>
      </c>
      <c r="I120">
        <v>19.98</v>
      </c>
      <c r="J120">
        <v>18.73</v>
      </c>
      <c r="K120" t="s">
        <v>18</v>
      </c>
      <c r="L120">
        <v>8.4</v>
      </c>
      <c r="M120">
        <v>9</v>
      </c>
      <c r="N120" t="s">
        <v>19</v>
      </c>
      <c r="O120">
        <f t="shared" si="2"/>
        <v>138.71</v>
      </c>
      <c r="P120" t="str">
        <f t="shared" si="3"/>
        <v>May</v>
      </c>
    </row>
    <row r="121" spans="1:16" x14ac:dyDescent="0.25">
      <c r="A121" t="s">
        <v>153</v>
      </c>
      <c r="B121">
        <v>56</v>
      </c>
      <c r="C121" t="s">
        <v>21</v>
      </c>
      <c r="D121" t="s">
        <v>33</v>
      </c>
      <c r="E121" s="2">
        <v>45771</v>
      </c>
      <c r="F121" t="s">
        <v>41</v>
      </c>
      <c r="G121">
        <v>60</v>
      </c>
      <c r="H121">
        <v>1</v>
      </c>
      <c r="I121">
        <v>23.38</v>
      </c>
      <c r="J121">
        <v>18.57</v>
      </c>
      <c r="K121" t="s">
        <v>18</v>
      </c>
      <c r="L121">
        <v>5.6</v>
      </c>
      <c r="M121">
        <v>8</v>
      </c>
      <c r="N121" t="s">
        <v>19</v>
      </c>
      <c r="O121">
        <f t="shared" si="2"/>
        <v>101.94999999999999</v>
      </c>
      <c r="P121" t="str">
        <f t="shared" si="3"/>
        <v>April</v>
      </c>
    </row>
    <row r="122" spans="1:16" x14ac:dyDescent="0.25">
      <c r="A122" t="s">
        <v>154</v>
      </c>
      <c r="B122">
        <v>58</v>
      </c>
      <c r="C122" t="s">
        <v>21</v>
      </c>
      <c r="D122" t="s">
        <v>40</v>
      </c>
      <c r="E122" s="2">
        <v>45781</v>
      </c>
      <c r="F122" t="s">
        <v>41</v>
      </c>
      <c r="G122">
        <v>60</v>
      </c>
      <c r="H122">
        <v>3</v>
      </c>
      <c r="I122">
        <v>15.97</v>
      </c>
      <c r="J122">
        <v>10.08</v>
      </c>
      <c r="K122" t="s">
        <v>18</v>
      </c>
      <c r="L122">
        <v>9.1999999999999993</v>
      </c>
      <c r="M122">
        <v>7</v>
      </c>
      <c r="N122" t="s">
        <v>19</v>
      </c>
      <c r="O122">
        <f t="shared" si="2"/>
        <v>206.05</v>
      </c>
      <c r="P122" t="str">
        <f t="shared" si="3"/>
        <v>May</v>
      </c>
    </row>
    <row r="123" spans="1:16" x14ac:dyDescent="0.25">
      <c r="A123" t="s">
        <v>155</v>
      </c>
      <c r="B123">
        <v>45</v>
      </c>
      <c r="C123" t="s">
        <v>21</v>
      </c>
      <c r="D123" t="s">
        <v>16</v>
      </c>
      <c r="E123" s="2">
        <v>45735</v>
      </c>
      <c r="F123" t="s">
        <v>29</v>
      </c>
      <c r="G123">
        <v>100</v>
      </c>
      <c r="H123">
        <v>3</v>
      </c>
      <c r="I123">
        <v>48.5</v>
      </c>
      <c r="J123">
        <v>18.95</v>
      </c>
      <c r="K123" t="s">
        <v>18</v>
      </c>
      <c r="L123">
        <v>7.2</v>
      </c>
      <c r="M123">
        <v>9</v>
      </c>
      <c r="N123" t="s">
        <v>19</v>
      </c>
      <c r="O123">
        <f t="shared" si="2"/>
        <v>367.45</v>
      </c>
      <c r="P123" t="str">
        <f t="shared" si="3"/>
        <v>March</v>
      </c>
    </row>
    <row r="124" spans="1:16" x14ac:dyDescent="0.25">
      <c r="A124" t="s">
        <v>156</v>
      </c>
      <c r="B124">
        <v>24</v>
      </c>
      <c r="C124" t="s">
        <v>15</v>
      </c>
      <c r="D124" t="s">
        <v>27</v>
      </c>
      <c r="E124" s="2">
        <v>45783</v>
      </c>
      <c r="F124" t="s">
        <v>17</v>
      </c>
      <c r="G124">
        <v>200</v>
      </c>
      <c r="H124">
        <v>1</v>
      </c>
      <c r="I124">
        <v>59.12</v>
      </c>
      <c r="J124">
        <v>6.63</v>
      </c>
      <c r="K124" t="s">
        <v>18</v>
      </c>
      <c r="L124">
        <v>8</v>
      </c>
      <c r="M124">
        <v>8</v>
      </c>
      <c r="N124" t="s">
        <v>34</v>
      </c>
      <c r="O124">
        <f t="shared" si="2"/>
        <v>265.75</v>
      </c>
      <c r="P124" t="str">
        <f t="shared" si="3"/>
        <v>May</v>
      </c>
    </row>
    <row r="125" spans="1:16" x14ac:dyDescent="0.25">
      <c r="A125" t="s">
        <v>157</v>
      </c>
      <c r="B125">
        <v>26</v>
      </c>
      <c r="C125" t="s">
        <v>21</v>
      </c>
      <c r="D125" t="s">
        <v>33</v>
      </c>
      <c r="E125" s="2">
        <v>45704</v>
      </c>
      <c r="F125" t="s">
        <v>23</v>
      </c>
      <c r="G125">
        <v>150</v>
      </c>
      <c r="H125">
        <v>3</v>
      </c>
      <c r="I125">
        <v>23.85</v>
      </c>
      <c r="J125">
        <v>10.81</v>
      </c>
      <c r="K125" t="s">
        <v>18</v>
      </c>
      <c r="L125">
        <v>7.3</v>
      </c>
      <c r="M125">
        <v>9</v>
      </c>
      <c r="N125" t="s">
        <v>34</v>
      </c>
      <c r="O125">
        <f t="shared" si="2"/>
        <v>484.66</v>
      </c>
      <c r="P125" t="str">
        <f t="shared" si="3"/>
        <v>February</v>
      </c>
    </row>
    <row r="126" spans="1:16" x14ac:dyDescent="0.25">
      <c r="A126" t="s">
        <v>158</v>
      </c>
      <c r="B126">
        <v>25</v>
      </c>
      <c r="C126" t="s">
        <v>15</v>
      </c>
      <c r="D126" t="s">
        <v>22</v>
      </c>
      <c r="E126" s="2">
        <v>45763</v>
      </c>
      <c r="F126" t="s">
        <v>17</v>
      </c>
      <c r="G126">
        <v>200</v>
      </c>
      <c r="H126">
        <v>2</v>
      </c>
      <c r="I126">
        <v>137.36850000000001</v>
      </c>
      <c r="J126">
        <v>44.46</v>
      </c>
      <c r="K126" t="s">
        <v>18</v>
      </c>
      <c r="L126">
        <v>8.1999999999999993</v>
      </c>
      <c r="M126">
        <v>8</v>
      </c>
      <c r="N126" t="s">
        <v>34</v>
      </c>
      <c r="O126">
        <f t="shared" si="2"/>
        <v>581.82850000000008</v>
      </c>
      <c r="P126" t="str">
        <f t="shared" si="3"/>
        <v>April</v>
      </c>
    </row>
    <row r="127" spans="1:16" x14ac:dyDescent="0.25">
      <c r="A127" t="s">
        <v>159</v>
      </c>
      <c r="B127">
        <v>29</v>
      </c>
      <c r="C127" t="s">
        <v>15</v>
      </c>
      <c r="D127" t="s">
        <v>40</v>
      </c>
      <c r="E127" s="2">
        <v>45791</v>
      </c>
      <c r="F127" t="s">
        <v>29</v>
      </c>
      <c r="G127">
        <v>100</v>
      </c>
      <c r="H127">
        <v>4</v>
      </c>
      <c r="I127">
        <v>73.47</v>
      </c>
      <c r="J127">
        <v>15.04</v>
      </c>
      <c r="K127" t="s">
        <v>18</v>
      </c>
      <c r="L127">
        <v>8.9</v>
      </c>
      <c r="M127">
        <v>9</v>
      </c>
      <c r="N127" t="s">
        <v>34</v>
      </c>
      <c r="O127">
        <f t="shared" si="2"/>
        <v>488.51000000000005</v>
      </c>
      <c r="P127" t="str">
        <f t="shared" si="3"/>
        <v>May</v>
      </c>
    </row>
    <row r="128" spans="1:16" x14ac:dyDescent="0.25">
      <c r="A128" t="s">
        <v>160</v>
      </c>
      <c r="B128">
        <v>51</v>
      </c>
      <c r="C128" t="s">
        <v>15</v>
      </c>
      <c r="D128" t="s">
        <v>36</v>
      </c>
      <c r="E128" s="2">
        <v>45764</v>
      </c>
      <c r="F128" t="s">
        <v>41</v>
      </c>
      <c r="G128">
        <v>60</v>
      </c>
      <c r="H128">
        <v>4</v>
      </c>
      <c r="I128">
        <v>6.04</v>
      </c>
      <c r="J128">
        <v>27.76</v>
      </c>
      <c r="K128" t="s">
        <v>18</v>
      </c>
      <c r="L128">
        <v>6.5</v>
      </c>
      <c r="M128">
        <v>8</v>
      </c>
      <c r="N128" t="s">
        <v>19</v>
      </c>
      <c r="O128">
        <f t="shared" si="2"/>
        <v>273.8</v>
      </c>
      <c r="P128" t="str">
        <f t="shared" si="3"/>
        <v>April</v>
      </c>
    </row>
    <row r="129" spans="1:16" x14ac:dyDescent="0.25">
      <c r="A129" t="s">
        <v>161</v>
      </c>
      <c r="B129">
        <v>50</v>
      </c>
      <c r="C129" t="s">
        <v>21</v>
      </c>
      <c r="D129" t="s">
        <v>40</v>
      </c>
      <c r="E129" s="2">
        <v>45665</v>
      </c>
      <c r="F129" t="s">
        <v>29</v>
      </c>
      <c r="G129">
        <v>100</v>
      </c>
      <c r="H129">
        <v>4</v>
      </c>
      <c r="I129">
        <v>55.34</v>
      </c>
      <c r="J129">
        <v>10.67</v>
      </c>
      <c r="K129" t="s">
        <v>18</v>
      </c>
      <c r="L129">
        <v>8.4</v>
      </c>
      <c r="M129">
        <v>8</v>
      </c>
      <c r="N129" t="s">
        <v>19</v>
      </c>
      <c r="O129">
        <f t="shared" si="2"/>
        <v>466.01000000000005</v>
      </c>
      <c r="P129" t="str">
        <f t="shared" si="3"/>
        <v>January</v>
      </c>
    </row>
    <row r="130" spans="1:16" x14ac:dyDescent="0.25">
      <c r="A130" t="s">
        <v>162</v>
      </c>
      <c r="B130">
        <v>65</v>
      </c>
      <c r="C130" t="s">
        <v>15</v>
      </c>
      <c r="D130" t="s">
        <v>40</v>
      </c>
      <c r="E130" s="2">
        <v>45681</v>
      </c>
      <c r="F130" t="s">
        <v>23</v>
      </c>
      <c r="G130">
        <v>150</v>
      </c>
      <c r="H130">
        <v>2</v>
      </c>
      <c r="I130">
        <v>62.61</v>
      </c>
      <c r="J130">
        <v>43.23</v>
      </c>
      <c r="K130" t="s">
        <v>24</v>
      </c>
      <c r="L130">
        <v>7.3</v>
      </c>
      <c r="M130">
        <v>8</v>
      </c>
      <c r="N130" t="s">
        <v>25</v>
      </c>
      <c r="O130">
        <f t="shared" si="2"/>
        <v>405.84000000000003</v>
      </c>
      <c r="P130" t="str">
        <f t="shared" si="3"/>
        <v>January</v>
      </c>
    </row>
    <row r="131" spans="1:16" x14ac:dyDescent="0.25">
      <c r="A131" t="s">
        <v>163</v>
      </c>
      <c r="B131">
        <v>40</v>
      </c>
      <c r="C131" t="s">
        <v>21</v>
      </c>
      <c r="D131" t="s">
        <v>16</v>
      </c>
      <c r="E131" s="2">
        <v>45803</v>
      </c>
      <c r="F131" t="s">
        <v>29</v>
      </c>
      <c r="G131">
        <v>100</v>
      </c>
      <c r="H131">
        <v>3</v>
      </c>
      <c r="I131">
        <v>65.03</v>
      </c>
      <c r="J131">
        <v>14.6</v>
      </c>
      <c r="K131" t="s">
        <v>24</v>
      </c>
      <c r="L131">
        <v>10</v>
      </c>
      <c r="M131">
        <v>10</v>
      </c>
      <c r="N131" t="s">
        <v>19</v>
      </c>
      <c r="O131">
        <f t="shared" ref="O131:O194" si="4">(G131*H131)+I131+J131</f>
        <v>379.63</v>
      </c>
      <c r="P131" t="str">
        <f t="shared" ref="P131:P194" si="5">TEXT(E131, "mmmm")</f>
        <v>May</v>
      </c>
    </row>
    <row r="132" spans="1:16" x14ac:dyDescent="0.25">
      <c r="A132" t="s">
        <v>164</v>
      </c>
      <c r="B132">
        <v>41</v>
      </c>
      <c r="C132" t="s">
        <v>21</v>
      </c>
      <c r="D132" t="s">
        <v>27</v>
      </c>
      <c r="E132" s="2">
        <v>45746</v>
      </c>
      <c r="F132" t="s">
        <v>41</v>
      </c>
      <c r="G132">
        <v>60</v>
      </c>
      <c r="H132">
        <v>3</v>
      </c>
      <c r="I132">
        <v>48.28</v>
      </c>
      <c r="J132">
        <v>43.89</v>
      </c>
      <c r="K132" t="s">
        <v>24</v>
      </c>
      <c r="L132">
        <v>6.3</v>
      </c>
      <c r="M132">
        <v>9</v>
      </c>
      <c r="N132" t="s">
        <v>19</v>
      </c>
      <c r="O132">
        <f t="shared" si="4"/>
        <v>272.17</v>
      </c>
      <c r="P132" t="str">
        <f t="shared" si="5"/>
        <v>March</v>
      </c>
    </row>
    <row r="133" spans="1:16" x14ac:dyDescent="0.25">
      <c r="A133" t="s">
        <v>165</v>
      </c>
      <c r="B133">
        <v>54</v>
      </c>
      <c r="C133" t="s">
        <v>15</v>
      </c>
      <c r="D133" t="s">
        <v>36</v>
      </c>
      <c r="E133" s="2">
        <v>45837</v>
      </c>
      <c r="F133" t="s">
        <v>41</v>
      </c>
      <c r="G133">
        <v>60</v>
      </c>
      <c r="H133">
        <v>1</v>
      </c>
      <c r="I133">
        <v>84.99</v>
      </c>
      <c r="J133">
        <v>8.42</v>
      </c>
      <c r="K133" t="s">
        <v>18</v>
      </c>
      <c r="L133">
        <v>6.5</v>
      </c>
      <c r="M133">
        <v>10</v>
      </c>
      <c r="N133" t="s">
        <v>19</v>
      </c>
      <c r="O133">
        <f t="shared" si="4"/>
        <v>153.41</v>
      </c>
      <c r="P133" t="str">
        <f t="shared" si="5"/>
        <v>June</v>
      </c>
    </row>
    <row r="134" spans="1:16" x14ac:dyDescent="0.25">
      <c r="A134" t="s">
        <v>166</v>
      </c>
      <c r="B134">
        <v>52</v>
      </c>
      <c r="C134" t="s">
        <v>21</v>
      </c>
      <c r="D134" t="s">
        <v>52</v>
      </c>
      <c r="E134" s="2">
        <v>45739</v>
      </c>
      <c r="F134" t="s">
        <v>41</v>
      </c>
      <c r="G134">
        <v>60</v>
      </c>
      <c r="H134">
        <v>3</v>
      </c>
      <c r="I134">
        <v>106.41</v>
      </c>
      <c r="J134">
        <v>11.85</v>
      </c>
      <c r="K134" t="s">
        <v>18</v>
      </c>
      <c r="L134">
        <v>7.5</v>
      </c>
      <c r="M134">
        <v>8</v>
      </c>
      <c r="N134" t="s">
        <v>19</v>
      </c>
      <c r="O134">
        <f t="shared" si="4"/>
        <v>298.26</v>
      </c>
      <c r="P134" t="str">
        <f t="shared" si="5"/>
        <v>March</v>
      </c>
    </row>
    <row r="135" spans="1:16" x14ac:dyDescent="0.25">
      <c r="A135" t="s">
        <v>167</v>
      </c>
      <c r="B135">
        <v>61</v>
      </c>
      <c r="C135" t="s">
        <v>15</v>
      </c>
      <c r="D135" t="s">
        <v>52</v>
      </c>
      <c r="E135" s="2">
        <v>45799</v>
      </c>
      <c r="F135" t="s">
        <v>23</v>
      </c>
      <c r="G135">
        <v>150</v>
      </c>
      <c r="H135">
        <v>1</v>
      </c>
      <c r="I135">
        <v>73.83</v>
      </c>
      <c r="J135">
        <v>13.53</v>
      </c>
      <c r="K135" t="s">
        <v>18</v>
      </c>
      <c r="L135">
        <v>6.6</v>
      </c>
      <c r="M135">
        <v>8</v>
      </c>
      <c r="N135" t="s">
        <v>25</v>
      </c>
      <c r="O135">
        <f t="shared" si="4"/>
        <v>237.35999999999999</v>
      </c>
      <c r="P135" t="str">
        <f t="shared" si="5"/>
        <v>May</v>
      </c>
    </row>
    <row r="136" spans="1:16" x14ac:dyDescent="0.25">
      <c r="A136" t="s">
        <v>168</v>
      </c>
      <c r="B136">
        <v>57</v>
      </c>
      <c r="C136" t="s">
        <v>15</v>
      </c>
      <c r="D136" t="s">
        <v>33</v>
      </c>
      <c r="E136" s="2">
        <v>45692</v>
      </c>
      <c r="F136" t="s">
        <v>23</v>
      </c>
      <c r="G136">
        <v>150</v>
      </c>
      <c r="H136">
        <v>2</v>
      </c>
      <c r="I136">
        <v>121.53</v>
      </c>
      <c r="J136">
        <v>12.16</v>
      </c>
      <c r="K136" t="s">
        <v>18</v>
      </c>
      <c r="L136">
        <v>7.7</v>
      </c>
      <c r="M136">
        <v>6</v>
      </c>
      <c r="N136" t="s">
        <v>19</v>
      </c>
      <c r="O136">
        <f t="shared" si="4"/>
        <v>433.69</v>
      </c>
      <c r="P136" t="str">
        <f t="shared" si="5"/>
        <v>February</v>
      </c>
    </row>
    <row r="137" spans="1:16" x14ac:dyDescent="0.25">
      <c r="A137" t="s">
        <v>169</v>
      </c>
      <c r="B137">
        <v>39</v>
      </c>
      <c r="C137" t="s">
        <v>21</v>
      </c>
      <c r="D137" t="s">
        <v>40</v>
      </c>
      <c r="E137" s="2">
        <v>45852</v>
      </c>
      <c r="F137" t="s">
        <v>41</v>
      </c>
      <c r="G137">
        <v>60</v>
      </c>
      <c r="H137">
        <v>4</v>
      </c>
      <c r="I137">
        <v>95.8</v>
      </c>
      <c r="J137">
        <v>31.32</v>
      </c>
      <c r="K137" t="s">
        <v>18</v>
      </c>
      <c r="L137">
        <v>7.2</v>
      </c>
      <c r="M137">
        <v>10</v>
      </c>
      <c r="N137" t="s">
        <v>30</v>
      </c>
      <c r="O137">
        <f t="shared" si="4"/>
        <v>367.12</v>
      </c>
      <c r="P137" t="str">
        <f t="shared" si="5"/>
        <v>July</v>
      </c>
    </row>
    <row r="138" spans="1:16" x14ac:dyDescent="0.25">
      <c r="A138" t="s">
        <v>170</v>
      </c>
      <c r="B138">
        <v>44</v>
      </c>
      <c r="C138" t="s">
        <v>15</v>
      </c>
      <c r="D138" t="s">
        <v>16</v>
      </c>
      <c r="E138" s="2">
        <v>45698</v>
      </c>
      <c r="F138" t="s">
        <v>29</v>
      </c>
      <c r="G138">
        <v>100</v>
      </c>
      <c r="H138">
        <v>4</v>
      </c>
      <c r="I138">
        <v>41.84</v>
      </c>
      <c r="J138">
        <v>31.04</v>
      </c>
      <c r="K138" t="s">
        <v>18</v>
      </c>
      <c r="L138">
        <v>8.1</v>
      </c>
      <c r="M138">
        <v>7</v>
      </c>
      <c r="N138" t="s">
        <v>19</v>
      </c>
      <c r="O138">
        <f t="shared" si="4"/>
        <v>472.88000000000005</v>
      </c>
      <c r="P138" t="str">
        <f t="shared" si="5"/>
        <v>February</v>
      </c>
    </row>
    <row r="139" spans="1:16" x14ac:dyDescent="0.25">
      <c r="A139" t="s">
        <v>171</v>
      </c>
      <c r="B139">
        <v>52</v>
      </c>
      <c r="C139" t="s">
        <v>21</v>
      </c>
      <c r="D139" t="s">
        <v>16</v>
      </c>
      <c r="E139" s="2">
        <v>45900</v>
      </c>
      <c r="F139" t="s">
        <v>23</v>
      </c>
      <c r="G139">
        <v>150</v>
      </c>
      <c r="H139">
        <v>4</v>
      </c>
      <c r="I139">
        <v>64.81</v>
      </c>
      <c r="J139">
        <v>20.43</v>
      </c>
      <c r="K139" t="s">
        <v>18</v>
      </c>
      <c r="L139">
        <v>9.5</v>
      </c>
      <c r="M139">
        <v>10</v>
      </c>
      <c r="N139" t="s">
        <v>19</v>
      </c>
      <c r="O139">
        <f t="shared" si="4"/>
        <v>685.2399999999999</v>
      </c>
      <c r="P139" t="str">
        <f t="shared" si="5"/>
        <v>August</v>
      </c>
    </row>
    <row r="140" spans="1:16" x14ac:dyDescent="0.25">
      <c r="A140" t="s">
        <v>172</v>
      </c>
      <c r="B140">
        <v>18</v>
      </c>
      <c r="C140" t="s">
        <v>21</v>
      </c>
      <c r="D140" t="s">
        <v>52</v>
      </c>
      <c r="E140" s="2">
        <v>45900</v>
      </c>
      <c r="F140" t="s">
        <v>41</v>
      </c>
      <c r="G140">
        <v>60</v>
      </c>
      <c r="H140">
        <v>3</v>
      </c>
      <c r="I140">
        <v>75.84</v>
      </c>
      <c r="J140">
        <v>27.56</v>
      </c>
      <c r="K140" t="s">
        <v>18</v>
      </c>
      <c r="L140">
        <v>8.1</v>
      </c>
      <c r="M140">
        <v>7</v>
      </c>
      <c r="N140" t="s">
        <v>34</v>
      </c>
      <c r="O140">
        <f t="shared" si="4"/>
        <v>283.39999999999998</v>
      </c>
      <c r="P140" t="str">
        <f t="shared" si="5"/>
        <v>August</v>
      </c>
    </row>
    <row r="141" spans="1:16" x14ac:dyDescent="0.25">
      <c r="A141" t="s">
        <v>173</v>
      </c>
      <c r="B141">
        <v>52</v>
      </c>
      <c r="C141" t="s">
        <v>21</v>
      </c>
      <c r="D141" t="s">
        <v>33</v>
      </c>
      <c r="E141" s="2">
        <v>45894</v>
      </c>
      <c r="F141" t="s">
        <v>41</v>
      </c>
      <c r="G141">
        <v>60</v>
      </c>
      <c r="H141">
        <v>1</v>
      </c>
      <c r="I141">
        <v>103.57</v>
      </c>
      <c r="J141">
        <v>46.159499999999987</v>
      </c>
      <c r="K141" t="s">
        <v>24</v>
      </c>
      <c r="L141">
        <v>8.1999999999999993</v>
      </c>
      <c r="M141">
        <v>9</v>
      </c>
      <c r="N141" t="s">
        <v>19</v>
      </c>
      <c r="O141">
        <f t="shared" si="4"/>
        <v>209.72949999999997</v>
      </c>
      <c r="P141" t="str">
        <f t="shared" si="5"/>
        <v>August</v>
      </c>
    </row>
    <row r="142" spans="1:16" x14ac:dyDescent="0.25">
      <c r="A142" t="s">
        <v>174</v>
      </c>
      <c r="B142">
        <v>54</v>
      </c>
      <c r="C142" t="s">
        <v>21</v>
      </c>
      <c r="D142" t="s">
        <v>33</v>
      </c>
      <c r="E142" s="2">
        <v>45798</v>
      </c>
      <c r="F142" t="s">
        <v>29</v>
      </c>
      <c r="G142">
        <v>100</v>
      </c>
      <c r="H142">
        <v>1</v>
      </c>
      <c r="I142">
        <v>46.25</v>
      </c>
      <c r="J142">
        <v>23.3</v>
      </c>
      <c r="K142" t="s">
        <v>18</v>
      </c>
      <c r="L142">
        <v>6.4</v>
      </c>
      <c r="M142">
        <v>6</v>
      </c>
      <c r="N142" t="s">
        <v>19</v>
      </c>
      <c r="O142">
        <f t="shared" si="4"/>
        <v>169.55</v>
      </c>
      <c r="P142" t="str">
        <f t="shared" si="5"/>
        <v>May</v>
      </c>
    </row>
    <row r="143" spans="1:16" x14ac:dyDescent="0.25">
      <c r="A143" t="s">
        <v>175</v>
      </c>
      <c r="B143">
        <v>64</v>
      </c>
      <c r="C143" t="s">
        <v>21</v>
      </c>
      <c r="D143" t="s">
        <v>33</v>
      </c>
      <c r="E143" s="2">
        <v>45835</v>
      </c>
      <c r="F143" t="s">
        <v>29</v>
      </c>
      <c r="G143">
        <v>100</v>
      </c>
      <c r="H143">
        <v>2</v>
      </c>
      <c r="I143">
        <v>61.04</v>
      </c>
      <c r="J143">
        <v>30.42</v>
      </c>
      <c r="K143" t="s">
        <v>18</v>
      </c>
      <c r="L143">
        <v>7.8</v>
      </c>
      <c r="M143">
        <v>7</v>
      </c>
      <c r="N143" t="s">
        <v>25</v>
      </c>
      <c r="O143">
        <f t="shared" si="4"/>
        <v>291.46000000000004</v>
      </c>
      <c r="P143" t="str">
        <f t="shared" si="5"/>
        <v>June</v>
      </c>
    </row>
    <row r="144" spans="1:16" x14ac:dyDescent="0.25">
      <c r="A144" t="s">
        <v>176</v>
      </c>
      <c r="B144">
        <v>31</v>
      </c>
      <c r="C144" t="s">
        <v>21</v>
      </c>
      <c r="D144" t="s">
        <v>36</v>
      </c>
      <c r="E144" s="2">
        <v>45744</v>
      </c>
      <c r="F144" t="s">
        <v>23</v>
      </c>
      <c r="G144">
        <v>150</v>
      </c>
      <c r="H144">
        <v>3</v>
      </c>
      <c r="I144">
        <v>7.57</v>
      </c>
      <c r="J144">
        <v>8.76</v>
      </c>
      <c r="K144" t="s">
        <v>18</v>
      </c>
      <c r="L144">
        <v>7.4</v>
      </c>
      <c r="M144">
        <v>8</v>
      </c>
      <c r="N144" t="s">
        <v>30</v>
      </c>
      <c r="O144">
        <f t="shared" si="4"/>
        <v>466.33</v>
      </c>
      <c r="P144" t="str">
        <f t="shared" si="5"/>
        <v>March</v>
      </c>
    </row>
    <row r="145" spans="1:16" x14ac:dyDescent="0.25">
      <c r="A145" t="s">
        <v>177</v>
      </c>
      <c r="B145">
        <v>20</v>
      </c>
      <c r="C145" t="s">
        <v>21</v>
      </c>
      <c r="D145" t="s">
        <v>27</v>
      </c>
      <c r="E145" s="2">
        <v>45846</v>
      </c>
      <c r="F145" t="s">
        <v>29</v>
      </c>
      <c r="G145">
        <v>100</v>
      </c>
      <c r="H145">
        <v>2</v>
      </c>
      <c r="I145">
        <v>35.590000000000003</v>
      </c>
      <c r="J145">
        <v>10.7</v>
      </c>
      <c r="K145" t="s">
        <v>18</v>
      </c>
      <c r="L145">
        <v>9</v>
      </c>
      <c r="M145">
        <v>7</v>
      </c>
      <c r="N145" t="s">
        <v>34</v>
      </c>
      <c r="O145">
        <f t="shared" si="4"/>
        <v>246.29</v>
      </c>
      <c r="P145" t="str">
        <f t="shared" si="5"/>
        <v>July</v>
      </c>
    </row>
    <row r="146" spans="1:16" x14ac:dyDescent="0.25">
      <c r="A146" t="s">
        <v>178</v>
      </c>
      <c r="B146">
        <v>18</v>
      </c>
      <c r="C146" t="s">
        <v>15</v>
      </c>
      <c r="D146" t="s">
        <v>36</v>
      </c>
      <c r="E146" s="2">
        <v>45705</v>
      </c>
      <c r="F146" t="s">
        <v>29</v>
      </c>
      <c r="G146">
        <v>100</v>
      </c>
      <c r="H146">
        <v>1</v>
      </c>
      <c r="I146">
        <v>2.09</v>
      </c>
      <c r="J146">
        <v>5.26</v>
      </c>
      <c r="K146" t="s">
        <v>18</v>
      </c>
      <c r="L146">
        <v>6.9</v>
      </c>
      <c r="M146">
        <v>8</v>
      </c>
      <c r="N146" t="s">
        <v>34</v>
      </c>
      <c r="O146">
        <f t="shared" si="4"/>
        <v>107.35000000000001</v>
      </c>
      <c r="P146" t="str">
        <f t="shared" si="5"/>
        <v>February</v>
      </c>
    </row>
    <row r="147" spans="1:16" x14ac:dyDescent="0.25">
      <c r="A147" t="s">
        <v>179</v>
      </c>
      <c r="B147">
        <v>22</v>
      </c>
      <c r="C147" t="s">
        <v>15</v>
      </c>
      <c r="D147" t="s">
        <v>22</v>
      </c>
      <c r="E147" s="2">
        <v>45870</v>
      </c>
      <c r="F147" t="s">
        <v>41</v>
      </c>
      <c r="G147">
        <v>60</v>
      </c>
      <c r="H147">
        <v>1</v>
      </c>
      <c r="I147">
        <v>22.68</v>
      </c>
      <c r="J147">
        <v>19.02</v>
      </c>
      <c r="K147" t="s">
        <v>18</v>
      </c>
      <c r="L147">
        <v>6.7</v>
      </c>
      <c r="M147">
        <v>8</v>
      </c>
      <c r="N147" t="s">
        <v>34</v>
      </c>
      <c r="O147">
        <f t="shared" si="4"/>
        <v>101.7</v>
      </c>
      <c r="P147" t="str">
        <f t="shared" si="5"/>
        <v>August</v>
      </c>
    </row>
    <row r="148" spans="1:16" x14ac:dyDescent="0.25">
      <c r="A148" t="s">
        <v>180</v>
      </c>
      <c r="B148">
        <v>43</v>
      </c>
      <c r="C148" t="s">
        <v>21</v>
      </c>
      <c r="D148" t="s">
        <v>22</v>
      </c>
      <c r="E148" s="2">
        <v>45762</v>
      </c>
      <c r="F148" t="s">
        <v>41</v>
      </c>
      <c r="G148">
        <v>60</v>
      </c>
      <c r="H148">
        <v>4</v>
      </c>
      <c r="I148">
        <v>28.2</v>
      </c>
      <c r="J148">
        <v>17.760000000000002</v>
      </c>
      <c r="K148" t="s">
        <v>18</v>
      </c>
      <c r="L148">
        <v>8.5</v>
      </c>
      <c r="M148">
        <v>9</v>
      </c>
      <c r="N148" t="s">
        <v>19</v>
      </c>
      <c r="O148">
        <f t="shared" si="4"/>
        <v>285.95999999999998</v>
      </c>
      <c r="P148" t="str">
        <f t="shared" si="5"/>
        <v>April</v>
      </c>
    </row>
    <row r="149" spans="1:16" x14ac:dyDescent="0.25">
      <c r="A149" t="s">
        <v>181</v>
      </c>
      <c r="B149">
        <v>31</v>
      </c>
      <c r="C149" t="s">
        <v>21</v>
      </c>
      <c r="D149" t="s">
        <v>27</v>
      </c>
      <c r="E149" s="2">
        <v>45821</v>
      </c>
      <c r="F149" t="s">
        <v>41</v>
      </c>
      <c r="G149">
        <v>60</v>
      </c>
      <c r="H149">
        <v>3</v>
      </c>
      <c r="I149">
        <v>75.58</v>
      </c>
      <c r="J149">
        <v>3.74</v>
      </c>
      <c r="K149" t="s">
        <v>24</v>
      </c>
      <c r="L149">
        <v>10</v>
      </c>
      <c r="M149">
        <v>5</v>
      </c>
      <c r="N149" t="s">
        <v>30</v>
      </c>
      <c r="O149">
        <f t="shared" si="4"/>
        <v>259.32</v>
      </c>
      <c r="P149" t="str">
        <f t="shared" si="5"/>
        <v>June</v>
      </c>
    </row>
    <row r="150" spans="1:16" x14ac:dyDescent="0.25">
      <c r="A150" t="s">
        <v>182</v>
      </c>
      <c r="B150">
        <v>56</v>
      </c>
      <c r="C150" t="s">
        <v>15</v>
      </c>
      <c r="D150" t="s">
        <v>52</v>
      </c>
      <c r="E150" s="2">
        <v>45805</v>
      </c>
      <c r="F150" t="s">
        <v>17</v>
      </c>
      <c r="G150">
        <v>200</v>
      </c>
      <c r="H150">
        <v>1</v>
      </c>
      <c r="I150">
        <v>26.25</v>
      </c>
      <c r="J150">
        <v>19.95</v>
      </c>
      <c r="K150" t="s">
        <v>24</v>
      </c>
      <c r="L150">
        <v>7.7</v>
      </c>
      <c r="M150">
        <v>7</v>
      </c>
      <c r="N150" t="s">
        <v>19</v>
      </c>
      <c r="O150">
        <f t="shared" si="4"/>
        <v>246.2</v>
      </c>
      <c r="P150" t="str">
        <f t="shared" si="5"/>
        <v>May</v>
      </c>
    </row>
    <row r="151" spans="1:16" x14ac:dyDescent="0.25">
      <c r="A151" t="s">
        <v>183</v>
      </c>
      <c r="B151">
        <v>44</v>
      </c>
      <c r="C151" t="s">
        <v>21</v>
      </c>
      <c r="D151" t="s">
        <v>27</v>
      </c>
      <c r="E151" s="2">
        <v>45846</v>
      </c>
      <c r="F151" t="s">
        <v>41</v>
      </c>
      <c r="G151">
        <v>60</v>
      </c>
      <c r="H151">
        <v>4</v>
      </c>
      <c r="I151">
        <v>48.6</v>
      </c>
      <c r="J151">
        <v>22.38</v>
      </c>
      <c r="K151" t="s">
        <v>24</v>
      </c>
      <c r="L151">
        <v>8.3000000000000007</v>
      </c>
      <c r="M151">
        <v>10</v>
      </c>
      <c r="N151" t="s">
        <v>19</v>
      </c>
      <c r="O151">
        <f t="shared" si="4"/>
        <v>310.98</v>
      </c>
      <c r="P151" t="str">
        <f t="shared" si="5"/>
        <v>July</v>
      </c>
    </row>
    <row r="152" spans="1:16" x14ac:dyDescent="0.25">
      <c r="A152" t="s">
        <v>184</v>
      </c>
      <c r="B152">
        <v>26</v>
      </c>
      <c r="C152" t="s">
        <v>15</v>
      </c>
      <c r="D152" t="s">
        <v>16</v>
      </c>
      <c r="E152" s="2">
        <v>45705</v>
      </c>
      <c r="F152" t="s">
        <v>41</v>
      </c>
      <c r="G152">
        <v>60</v>
      </c>
      <c r="H152">
        <v>3</v>
      </c>
      <c r="I152">
        <v>65.09</v>
      </c>
      <c r="J152">
        <v>34.58</v>
      </c>
      <c r="K152" t="s">
        <v>24</v>
      </c>
      <c r="L152">
        <v>9.4</v>
      </c>
      <c r="M152">
        <v>9</v>
      </c>
      <c r="N152" t="s">
        <v>34</v>
      </c>
      <c r="O152">
        <f t="shared" si="4"/>
        <v>279.67</v>
      </c>
      <c r="P152" t="str">
        <f t="shared" si="5"/>
        <v>February</v>
      </c>
    </row>
    <row r="153" spans="1:16" x14ac:dyDescent="0.25">
      <c r="A153" t="s">
        <v>185</v>
      </c>
      <c r="B153">
        <v>32</v>
      </c>
      <c r="C153" t="s">
        <v>38</v>
      </c>
      <c r="D153" t="s">
        <v>22</v>
      </c>
      <c r="E153" s="2">
        <v>45742</v>
      </c>
      <c r="F153" t="s">
        <v>29</v>
      </c>
      <c r="G153">
        <v>100</v>
      </c>
      <c r="H153">
        <v>2</v>
      </c>
      <c r="I153">
        <v>47.45</v>
      </c>
      <c r="J153">
        <v>12.85</v>
      </c>
      <c r="K153" t="s">
        <v>18</v>
      </c>
      <c r="L153">
        <v>8.8000000000000007</v>
      </c>
      <c r="M153">
        <v>10</v>
      </c>
      <c r="N153" t="s">
        <v>30</v>
      </c>
      <c r="O153">
        <f t="shared" si="4"/>
        <v>260.3</v>
      </c>
      <c r="P153" t="str">
        <f t="shared" si="5"/>
        <v>March</v>
      </c>
    </row>
    <row r="154" spans="1:16" x14ac:dyDescent="0.25">
      <c r="A154" t="s">
        <v>186</v>
      </c>
      <c r="B154">
        <v>32</v>
      </c>
      <c r="C154" t="s">
        <v>15</v>
      </c>
      <c r="D154" t="s">
        <v>40</v>
      </c>
      <c r="E154" s="2">
        <v>45696</v>
      </c>
      <c r="F154" t="s">
        <v>41</v>
      </c>
      <c r="G154">
        <v>60</v>
      </c>
      <c r="H154">
        <v>3</v>
      </c>
      <c r="I154">
        <v>30.97</v>
      </c>
      <c r="J154">
        <v>28.79</v>
      </c>
      <c r="K154" t="s">
        <v>18</v>
      </c>
      <c r="L154">
        <v>8.8000000000000007</v>
      </c>
      <c r="M154">
        <v>9</v>
      </c>
      <c r="N154" t="s">
        <v>30</v>
      </c>
      <c r="O154">
        <f t="shared" si="4"/>
        <v>239.76</v>
      </c>
      <c r="P154" t="str">
        <f t="shared" si="5"/>
        <v>February</v>
      </c>
    </row>
    <row r="155" spans="1:16" x14ac:dyDescent="0.25">
      <c r="A155" t="s">
        <v>187</v>
      </c>
      <c r="B155">
        <v>43</v>
      </c>
      <c r="C155" t="s">
        <v>15</v>
      </c>
      <c r="D155" t="s">
        <v>40</v>
      </c>
      <c r="E155" s="2">
        <v>45690</v>
      </c>
      <c r="F155" t="s">
        <v>41</v>
      </c>
      <c r="G155">
        <v>60</v>
      </c>
      <c r="H155">
        <v>3</v>
      </c>
      <c r="I155">
        <v>136.96</v>
      </c>
      <c r="J155">
        <v>26.21</v>
      </c>
      <c r="K155" t="s">
        <v>18</v>
      </c>
      <c r="L155">
        <v>7.9</v>
      </c>
      <c r="M155">
        <v>6</v>
      </c>
      <c r="N155" t="s">
        <v>19</v>
      </c>
      <c r="O155">
        <f t="shared" si="4"/>
        <v>343.17</v>
      </c>
      <c r="P155" t="str">
        <f t="shared" si="5"/>
        <v>February</v>
      </c>
    </row>
    <row r="156" spans="1:16" x14ac:dyDescent="0.25">
      <c r="A156" t="s">
        <v>188</v>
      </c>
      <c r="B156">
        <v>59</v>
      </c>
      <c r="C156" t="s">
        <v>15</v>
      </c>
      <c r="D156" t="s">
        <v>52</v>
      </c>
      <c r="E156" s="2">
        <v>45834</v>
      </c>
      <c r="F156" t="s">
        <v>29</v>
      </c>
      <c r="G156">
        <v>100</v>
      </c>
      <c r="H156">
        <v>1</v>
      </c>
      <c r="I156">
        <v>88.45</v>
      </c>
      <c r="J156">
        <v>25.9</v>
      </c>
      <c r="K156" t="s">
        <v>18</v>
      </c>
      <c r="L156">
        <v>7.9</v>
      </c>
      <c r="M156">
        <v>9</v>
      </c>
      <c r="N156" t="s">
        <v>19</v>
      </c>
      <c r="O156">
        <f t="shared" si="4"/>
        <v>214.35</v>
      </c>
      <c r="P156" t="str">
        <f t="shared" si="5"/>
        <v>June</v>
      </c>
    </row>
    <row r="157" spans="1:16" x14ac:dyDescent="0.25">
      <c r="A157" t="s">
        <v>189</v>
      </c>
      <c r="B157">
        <v>30</v>
      </c>
      <c r="C157" t="s">
        <v>21</v>
      </c>
      <c r="D157" t="s">
        <v>16</v>
      </c>
      <c r="E157" s="2">
        <v>45691</v>
      </c>
      <c r="F157" t="s">
        <v>29</v>
      </c>
      <c r="G157">
        <v>100</v>
      </c>
      <c r="H157">
        <v>1</v>
      </c>
      <c r="I157">
        <v>45.12</v>
      </c>
      <c r="J157">
        <v>7.84</v>
      </c>
      <c r="K157" t="s">
        <v>18</v>
      </c>
      <c r="L157">
        <v>6.9</v>
      </c>
      <c r="M157">
        <v>8</v>
      </c>
      <c r="N157" t="s">
        <v>30</v>
      </c>
      <c r="O157">
        <f t="shared" si="4"/>
        <v>152.96</v>
      </c>
      <c r="P157" t="str">
        <f t="shared" si="5"/>
        <v>February</v>
      </c>
    </row>
    <row r="158" spans="1:16" x14ac:dyDescent="0.25">
      <c r="A158" t="s">
        <v>190</v>
      </c>
      <c r="B158">
        <v>68</v>
      </c>
      <c r="C158" t="s">
        <v>21</v>
      </c>
      <c r="D158" t="s">
        <v>36</v>
      </c>
      <c r="E158" s="2">
        <v>45797</v>
      </c>
      <c r="F158" t="s">
        <v>17</v>
      </c>
      <c r="G158">
        <v>200</v>
      </c>
      <c r="H158">
        <v>3</v>
      </c>
      <c r="I158">
        <v>36.200000000000003</v>
      </c>
      <c r="J158">
        <v>15.62</v>
      </c>
      <c r="K158" t="s">
        <v>24</v>
      </c>
      <c r="L158">
        <v>8.6999999999999993</v>
      </c>
      <c r="M158">
        <v>10</v>
      </c>
      <c r="N158" t="s">
        <v>25</v>
      </c>
      <c r="O158">
        <f t="shared" si="4"/>
        <v>651.82000000000005</v>
      </c>
      <c r="P158" t="str">
        <f t="shared" si="5"/>
        <v>May</v>
      </c>
    </row>
    <row r="159" spans="1:16" x14ac:dyDescent="0.25">
      <c r="A159" t="s">
        <v>191</v>
      </c>
      <c r="B159">
        <v>49</v>
      </c>
      <c r="C159" t="s">
        <v>15</v>
      </c>
      <c r="D159" t="s">
        <v>16</v>
      </c>
      <c r="E159" s="2">
        <v>45821</v>
      </c>
      <c r="F159" t="s">
        <v>23</v>
      </c>
      <c r="G159">
        <v>150</v>
      </c>
      <c r="H159">
        <v>1</v>
      </c>
      <c r="I159">
        <v>63.25</v>
      </c>
      <c r="J159">
        <v>37.71</v>
      </c>
      <c r="K159" t="s">
        <v>18</v>
      </c>
      <c r="L159">
        <v>8.6999999999999993</v>
      </c>
      <c r="M159">
        <v>9</v>
      </c>
      <c r="N159" t="s">
        <v>19</v>
      </c>
      <c r="O159">
        <f t="shared" si="4"/>
        <v>250.96</v>
      </c>
      <c r="P159" t="str">
        <f t="shared" si="5"/>
        <v>June</v>
      </c>
    </row>
    <row r="160" spans="1:16" x14ac:dyDescent="0.25">
      <c r="A160" t="s">
        <v>192</v>
      </c>
      <c r="B160">
        <v>56</v>
      </c>
      <c r="C160" t="s">
        <v>21</v>
      </c>
      <c r="D160" t="s">
        <v>40</v>
      </c>
      <c r="E160" s="2">
        <v>45836</v>
      </c>
      <c r="F160" t="s">
        <v>29</v>
      </c>
      <c r="G160">
        <v>100</v>
      </c>
      <c r="H160">
        <v>1</v>
      </c>
      <c r="I160">
        <v>62.8</v>
      </c>
      <c r="J160">
        <v>31.39</v>
      </c>
      <c r="K160" t="s">
        <v>18</v>
      </c>
      <c r="L160">
        <v>9.1</v>
      </c>
      <c r="M160">
        <v>9</v>
      </c>
      <c r="N160" t="s">
        <v>19</v>
      </c>
      <c r="O160">
        <f t="shared" si="4"/>
        <v>194.19</v>
      </c>
      <c r="P160" t="str">
        <f t="shared" si="5"/>
        <v>June</v>
      </c>
    </row>
    <row r="161" spans="1:16" x14ac:dyDescent="0.25">
      <c r="A161" t="s">
        <v>193</v>
      </c>
      <c r="B161">
        <v>66</v>
      </c>
      <c r="C161" t="s">
        <v>15</v>
      </c>
      <c r="D161" t="s">
        <v>40</v>
      </c>
      <c r="E161" s="2">
        <v>45844</v>
      </c>
      <c r="F161" t="s">
        <v>41</v>
      </c>
      <c r="G161">
        <v>60</v>
      </c>
      <c r="H161">
        <v>1</v>
      </c>
      <c r="I161">
        <v>54.13</v>
      </c>
      <c r="J161">
        <v>4.01</v>
      </c>
      <c r="K161" t="s">
        <v>18</v>
      </c>
      <c r="L161">
        <v>7.3</v>
      </c>
      <c r="M161">
        <v>9</v>
      </c>
      <c r="N161" t="s">
        <v>25</v>
      </c>
      <c r="O161">
        <f t="shared" si="4"/>
        <v>118.14</v>
      </c>
      <c r="P161" t="str">
        <f t="shared" si="5"/>
        <v>July</v>
      </c>
    </row>
    <row r="162" spans="1:16" x14ac:dyDescent="0.25">
      <c r="A162" t="s">
        <v>194</v>
      </c>
      <c r="B162">
        <v>69</v>
      </c>
      <c r="C162" t="s">
        <v>21</v>
      </c>
      <c r="D162" t="s">
        <v>22</v>
      </c>
      <c r="E162" s="2">
        <v>45795</v>
      </c>
      <c r="F162" t="s">
        <v>23</v>
      </c>
      <c r="G162">
        <v>150</v>
      </c>
      <c r="H162">
        <v>4</v>
      </c>
      <c r="I162">
        <v>30.76</v>
      </c>
      <c r="J162">
        <v>26.81</v>
      </c>
      <c r="K162" t="s">
        <v>24</v>
      </c>
      <c r="L162">
        <v>9.1999999999999993</v>
      </c>
      <c r="M162">
        <v>9</v>
      </c>
      <c r="N162" t="s">
        <v>25</v>
      </c>
      <c r="O162">
        <f t="shared" si="4"/>
        <v>657.56999999999994</v>
      </c>
      <c r="P162" t="str">
        <f t="shared" si="5"/>
        <v>May</v>
      </c>
    </row>
    <row r="163" spans="1:16" x14ac:dyDescent="0.25">
      <c r="A163" t="s">
        <v>195</v>
      </c>
      <c r="B163">
        <v>49</v>
      </c>
      <c r="C163" t="s">
        <v>15</v>
      </c>
      <c r="D163" t="s">
        <v>16</v>
      </c>
      <c r="E163" s="2">
        <v>45711</v>
      </c>
      <c r="F163" t="s">
        <v>17</v>
      </c>
      <c r="G163">
        <v>200</v>
      </c>
      <c r="H163">
        <v>4</v>
      </c>
      <c r="I163">
        <v>4.28</v>
      </c>
      <c r="J163">
        <v>3.28</v>
      </c>
      <c r="K163" t="s">
        <v>18</v>
      </c>
      <c r="L163">
        <v>9.6999999999999993</v>
      </c>
      <c r="M163">
        <v>9</v>
      </c>
      <c r="N163" t="s">
        <v>19</v>
      </c>
      <c r="O163">
        <f t="shared" si="4"/>
        <v>807.56</v>
      </c>
      <c r="P163" t="str">
        <f t="shared" si="5"/>
        <v>February</v>
      </c>
    </row>
    <row r="164" spans="1:16" x14ac:dyDescent="0.25">
      <c r="A164" t="s">
        <v>196</v>
      </c>
      <c r="B164">
        <v>21</v>
      </c>
      <c r="C164" t="s">
        <v>15</v>
      </c>
      <c r="D164" t="s">
        <v>16</v>
      </c>
      <c r="E164" s="2">
        <v>45784</v>
      </c>
      <c r="F164" t="s">
        <v>29</v>
      </c>
      <c r="G164">
        <v>100</v>
      </c>
      <c r="H164">
        <v>3</v>
      </c>
      <c r="I164">
        <v>62.75</v>
      </c>
      <c r="J164">
        <v>12.81</v>
      </c>
      <c r="K164" t="s">
        <v>24</v>
      </c>
      <c r="L164">
        <v>6.2</v>
      </c>
      <c r="M164">
        <v>8</v>
      </c>
      <c r="N164" t="s">
        <v>34</v>
      </c>
      <c r="O164">
        <f t="shared" si="4"/>
        <v>375.56</v>
      </c>
      <c r="P164" t="str">
        <f t="shared" si="5"/>
        <v>May</v>
      </c>
    </row>
    <row r="165" spans="1:16" x14ac:dyDescent="0.25">
      <c r="A165" t="s">
        <v>197</v>
      </c>
      <c r="B165">
        <v>47</v>
      </c>
      <c r="C165" t="s">
        <v>21</v>
      </c>
      <c r="D165" t="s">
        <v>40</v>
      </c>
      <c r="E165" s="2">
        <v>45680</v>
      </c>
      <c r="F165" t="s">
        <v>17</v>
      </c>
      <c r="G165">
        <v>200</v>
      </c>
      <c r="H165">
        <v>1</v>
      </c>
      <c r="I165">
        <v>24.95</v>
      </c>
      <c r="J165">
        <v>22.36</v>
      </c>
      <c r="K165" t="s">
        <v>24</v>
      </c>
      <c r="L165">
        <v>7.6</v>
      </c>
      <c r="M165">
        <v>9</v>
      </c>
      <c r="N165" t="s">
        <v>19</v>
      </c>
      <c r="O165">
        <f t="shared" si="4"/>
        <v>247.31</v>
      </c>
      <c r="P165" t="str">
        <f t="shared" si="5"/>
        <v>January</v>
      </c>
    </row>
    <row r="166" spans="1:16" x14ac:dyDescent="0.25">
      <c r="A166" t="s">
        <v>198</v>
      </c>
      <c r="B166">
        <v>54</v>
      </c>
      <c r="C166" t="s">
        <v>38</v>
      </c>
      <c r="D166" t="s">
        <v>36</v>
      </c>
      <c r="E166" s="2">
        <v>45888</v>
      </c>
      <c r="F166" t="s">
        <v>23</v>
      </c>
      <c r="G166">
        <v>150</v>
      </c>
      <c r="H166">
        <v>4</v>
      </c>
      <c r="I166">
        <v>133.97999999999999</v>
      </c>
      <c r="J166">
        <v>22.97</v>
      </c>
      <c r="K166" t="s">
        <v>24</v>
      </c>
      <c r="L166">
        <v>9.8000000000000007</v>
      </c>
      <c r="M166">
        <v>9</v>
      </c>
      <c r="N166" t="s">
        <v>19</v>
      </c>
      <c r="O166">
        <f t="shared" si="4"/>
        <v>756.95</v>
      </c>
      <c r="P166" t="str">
        <f t="shared" si="5"/>
        <v>August</v>
      </c>
    </row>
    <row r="167" spans="1:16" x14ac:dyDescent="0.25">
      <c r="A167" t="s">
        <v>199</v>
      </c>
      <c r="B167">
        <v>40</v>
      </c>
      <c r="C167" t="s">
        <v>21</v>
      </c>
      <c r="D167" t="s">
        <v>52</v>
      </c>
      <c r="E167" s="2">
        <v>45762</v>
      </c>
      <c r="F167" t="s">
        <v>17</v>
      </c>
      <c r="G167">
        <v>200</v>
      </c>
      <c r="H167">
        <v>3</v>
      </c>
      <c r="I167">
        <v>18.37</v>
      </c>
      <c r="J167">
        <v>3.77</v>
      </c>
      <c r="K167" t="s">
        <v>24</v>
      </c>
      <c r="L167">
        <v>7</v>
      </c>
      <c r="M167">
        <v>10</v>
      </c>
      <c r="N167" t="s">
        <v>19</v>
      </c>
      <c r="O167">
        <f t="shared" si="4"/>
        <v>622.14</v>
      </c>
      <c r="P167" t="str">
        <f t="shared" si="5"/>
        <v>April</v>
      </c>
    </row>
    <row r="168" spans="1:16" x14ac:dyDescent="0.25">
      <c r="A168" t="s">
        <v>200</v>
      </c>
      <c r="B168">
        <v>56</v>
      </c>
      <c r="C168" t="s">
        <v>21</v>
      </c>
      <c r="D168" t="s">
        <v>33</v>
      </c>
      <c r="E168" s="2">
        <v>45890</v>
      </c>
      <c r="F168" t="s">
        <v>23</v>
      </c>
      <c r="G168">
        <v>150</v>
      </c>
      <c r="H168">
        <v>1</v>
      </c>
      <c r="I168">
        <v>37.57</v>
      </c>
      <c r="J168">
        <v>7.54</v>
      </c>
      <c r="K168" t="s">
        <v>24</v>
      </c>
      <c r="L168">
        <v>8.8000000000000007</v>
      </c>
      <c r="M168">
        <v>9</v>
      </c>
      <c r="N168" t="s">
        <v>19</v>
      </c>
      <c r="O168">
        <f t="shared" si="4"/>
        <v>195.10999999999999</v>
      </c>
      <c r="P168" t="str">
        <f t="shared" si="5"/>
        <v>August</v>
      </c>
    </row>
    <row r="169" spans="1:16" x14ac:dyDescent="0.25">
      <c r="A169" t="s">
        <v>201</v>
      </c>
      <c r="B169">
        <v>62</v>
      </c>
      <c r="C169" t="s">
        <v>38</v>
      </c>
      <c r="D169" t="s">
        <v>52</v>
      </c>
      <c r="E169" s="2">
        <v>45661</v>
      </c>
      <c r="F169" t="s">
        <v>23</v>
      </c>
      <c r="G169">
        <v>150</v>
      </c>
      <c r="H169">
        <v>2</v>
      </c>
      <c r="I169">
        <v>131.19999999999999</v>
      </c>
      <c r="J169">
        <v>46.159499999999987</v>
      </c>
      <c r="K169" t="s">
        <v>18</v>
      </c>
      <c r="L169">
        <v>8</v>
      </c>
      <c r="M169">
        <v>10</v>
      </c>
      <c r="N169" t="s">
        <v>25</v>
      </c>
      <c r="O169">
        <f t="shared" si="4"/>
        <v>477.35949999999997</v>
      </c>
      <c r="P169" t="str">
        <f t="shared" si="5"/>
        <v>January</v>
      </c>
    </row>
    <row r="170" spans="1:16" x14ac:dyDescent="0.25">
      <c r="A170" t="s">
        <v>202</v>
      </c>
      <c r="B170">
        <v>32</v>
      </c>
      <c r="C170" t="s">
        <v>15</v>
      </c>
      <c r="D170" t="s">
        <v>16</v>
      </c>
      <c r="E170" s="2">
        <v>45796</v>
      </c>
      <c r="F170" t="s">
        <v>23</v>
      </c>
      <c r="G170">
        <v>150</v>
      </c>
      <c r="H170">
        <v>1</v>
      </c>
      <c r="I170">
        <v>37.380000000000003</v>
      </c>
      <c r="J170">
        <v>5.31</v>
      </c>
      <c r="K170" t="s">
        <v>18</v>
      </c>
      <c r="L170">
        <v>8.5</v>
      </c>
      <c r="M170">
        <v>10</v>
      </c>
      <c r="N170" t="s">
        <v>30</v>
      </c>
      <c r="O170">
        <f t="shared" si="4"/>
        <v>192.69</v>
      </c>
      <c r="P170" t="str">
        <f t="shared" si="5"/>
        <v>May</v>
      </c>
    </row>
    <row r="171" spans="1:16" x14ac:dyDescent="0.25">
      <c r="A171" t="s">
        <v>203</v>
      </c>
      <c r="B171">
        <v>60</v>
      </c>
      <c r="C171" t="s">
        <v>38</v>
      </c>
      <c r="D171" t="s">
        <v>52</v>
      </c>
      <c r="E171" s="2">
        <v>45721</v>
      </c>
      <c r="F171" t="s">
        <v>29</v>
      </c>
      <c r="G171">
        <v>100</v>
      </c>
      <c r="H171">
        <v>1</v>
      </c>
      <c r="I171">
        <v>25.14</v>
      </c>
      <c r="J171">
        <v>9.8000000000000007</v>
      </c>
      <c r="K171" t="s">
        <v>18</v>
      </c>
      <c r="L171">
        <v>8.1</v>
      </c>
      <c r="M171">
        <v>9</v>
      </c>
      <c r="N171" t="s">
        <v>25</v>
      </c>
      <c r="O171">
        <f t="shared" si="4"/>
        <v>134.94</v>
      </c>
      <c r="P171" t="str">
        <f t="shared" si="5"/>
        <v>March</v>
      </c>
    </row>
    <row r="172" spans="1:16" x14ac:dyDescent="0.25">
      <c r="A172" t="s">
        <v>204</v>
      </c>
      <c r="B172">
        <v>46</v>
      </c>
      <c r="C172" t="s">
        <v>21</v>
      </c>
      <c r="D172" t="s">
        <v>40</v>
      </c>
      <c r="E172" s="2">
        <v>45760</v>
      </c>
      <c r="F172" t="s">
        <v>41</v>
      </c>
      <c r="G172">
        <v>60</v>
      </c>
      <c r="H172">
        <v>4</v>
      </c>
      <c r="I172">
        <v>103.37</v>
      </c>
      <c r="J172">
        <v>0.27</v>
      </c>
      <c r="K172" t="s">
        <v>18</v>
      </c>
      <c r="L172">
        <v>9.1</v>
      </c>
      <c r="M172">
        <v>6</v>
      </c>
      <c r="N172" t="s">
        <v>19</v>
      </c>
      <c r="O172">
        <f t="shared" si="4"/>
        <v>343.64</v>
      </c>
      <c r="P172" t="str">
        <f t="shared" si="5"/>
        <v>April</v>
      </c>
    </row>
    <row r="173" spans="1:16" x14ac:dyDescent="0.25">
      <c r="A173" t="s">
        <v>205</v>
      </c>
      <c r="B173">
        <v>53</v>
      </c>
      <c r="C173" t="s">
        <v>21</v>
      </c>
      <c r="D173" t="s">
        <v>40</v>
      </c>
      <c r="E173" s="2">
        <v>45731</v>
      </c>
      <c r="F173" t="s">
        <v>29</v>
      </c>
      <c r="G173">
        <v>100</v>
      </c>
      <c r="H173">
        <v>3</v>
      </c>
      <c r="I173">
        <v>124</v>
      </c>
      <c r="J173">
        <v>46.159499999999987</v>
      </c>
      <c r="K173" t="s">
        <v>24</v>
      </c>
      <c r="L173">
        <v>6.5</v>
      </c>
      <c r="M173">
        <v>6</v>
      </c>
      <c r="N173" t="s">
        <v>19</v>
      </c>
      <c r="O173">
        <f t="shared" si="4"/>
        <v>470.15949999999998</v>
      </c>
      <c r="P173" t="str">
        <f t="shared" si="5"/>
        <v>March</v>
      </c>
    </row>
    <row r="174" spans="1:16" x14ac:dyDescent="0.25">
      <c r="A174" t="s">
        <v>206</v>
      </c>
      <c r="B174">
        <v>30</v>
      </c>
      <c r="C174" t="s">
        <v>21</v>
      </c>
      <c r="D174" t="s">
        <v>16</v>
      </c>
      <c r="E174" s="2">
        <v>45667</v>
      </c>
      <c r="F174" t="s">
        <v>41</v>
      </c>
      <c r="G174">
        <v>60</v>
      </c>
      <c r="H174">
        <v>3</v>
      </c>
      <c r="I174">
        <v>8.11</v>
      </c>
      <c r="J174">
        <v>6.29</v>
      </c>
      <c r="K174" t="s">
        <v>18</v>
      </c>
      <c r="L174">
        <v>6.6</v>
      </c>
      <c r="M174">
        <v>8</v>
      </c>
      <c r="N174" t="s">
        <v>30</v>
      </c>
      <c r="O174">
        <f t="shared" si="4"/>
        <v>194.4</v>
      </c>
      <c r="P174" t="str">
        <f t="shared" si="5"/>
        <v>January</v>
      </c>
    </row>
    <row r="175" spans="1:16" x14ac:dyDescent="0.25">
      <c r="A175" t="s">
        <v>207</v>
      </c>
      <c r="B175">
        <v>49</v>
      </c>
      <c r="C175" t="s">
        <v>21</v>
      </c>
      <c r="D175" t="s">
        <v>16</v>
      </c>
      <c r="E175" s="2">
        <v>45699</v>
      </c>
      <c r="F175" t="s">
        <v>17</v>
      </c>
      <c r="G175">
        <v>200</v>
      </c>
      <c r="H175">
        <v>4</v>
      </c>
      <c r="I175">
        <v>96.11</v>
      </c>
      <c r="J175">
        <v>7.82</v>
      </c>
      <c r="K175" t="s">
        <v>24</v>
      </c>
      <c r="L175">
        <v>10</v>
      </c>
      <c r="M175">
        <v>8</v>
      </c>
      <c r="N175" t="s">
        <v>19</v>
      </c>
      <c r="O175">
        <f t="shared" si="4"/>
        <v>903.93000000000006</v>
      </c>
      <c r="P175" t="str">
        <f t="shared" si="5"/>
        <v>February</v>
      </c>
    </row>
    <row r="176" spans="1:16" x14ac:dyDescent="0.25">
      <c r="A176" t="s">
        <v>208</v>
      </c>
      <c r="B176">
        <v>24</v>
      </c>
      <c r="C176" t="s">
        <v>21</v>
      </c>
      <c r="D176" t="s">
        <v>33</v>
      </c>
      <c r="E176" s="2">
        <v>45731</v>
      </c>
      <c r="F176" t="s">
        <v>23</v>
      </c>
      <c r="G176">
        <v>150</v>
      </c>
      <c r="H176">
        <v>1</v>
      </c>
      <c r="I176">
        <v>91.28</v>
      </c>
      <c r="J176">
        <v>3.27</v>
      </c>
      <c r="K176" t="s">
        <v>18</v>
      </c>
      <c r="L176">
        <v>10</v>
      </c>
      <c r="M176">
        <v>10</v>
      </c>
      <c r="N176" t="s">
        <v>34</v>
      </c>
      <c r="O176">
        <f t="shared" si="4"/>
        <v>244.55</v>
      </c>
      <c r="P176" t="str">
        <f t="shared" si="5"/>
        <v>March</v>
      </c>
    </row>
    <row r="177" spans="1:16" x14ac:dyDescent="0.25">
      <c r="A177" t="s">
        <v>209</v>
      </c>
      <c r="B177">
        <v>68</v>
      </c>
      <c r="C177" t="s">
        <v>21</v>
      </c>
      <c r="D177" t="s">
        <v>33</v>
      </c>
      <c r="E177" s="2">
        <v>45730</v>
      </c>
      <c r="F177" t="s">
        <v>41</v>
      </c>
      <c r="G177">
        <v>60</v>
      </c>
      <c r="H177">
        <v>2</v>
      </c>
      <c r="I177">
        <v>43.85</v>
      </c>
      <c r="J177">
        <v>15.01</v>
      </c>
      <c r="K177" t="s">
        <v>18</v>
      </c>
      <c r="L177">
        <v>8</v>
      </c>
      <c r="M177">
        <v>4</v>
      </c>
      <c r="N177" t="s">
        <v>25</v>
      </c>
      <c r="O177">
        <f t="shared" si="4"/>
        <v>178.85999999999999</v>
      </c>
      <c r="P177" t="str">
        <f t="shared" si="5"/>
        <v>March</v>
      </c>
    </row>
    <row r="178" spans="1:16" x14ac:dyDescent="0.25">
      <c r="A178" t="s">
        <v>210</v>
      </c>
      <c r="B178">
        <v>39</v>
      </c>
      <c r="C178" t="s">
        <v>21</v>
      </c>
      <c r="D178" t="s">
        <v>22</v>
      </c>
      <c r="E178" s="2">
        <v>45842</v>
      </c>
      <c r="F178" t="s">
        <v>17</v>
      </c>
      <c r="G178">
        <v>200</v>
      </c>
      <c r="H178">
        <v>1</v>
      </c>
      <c r="I178">
        <v>18.72</v>
      </c>
      <c r="J178">
        <v>12.3</v>
      </c>
      <c r="K178" t="s">
        <v>24</v>
      </c>
      <c r="L178">
        <v>10</v>
      </c>
      <c r="M178">
        <v>7</v>
      </c>
      <c r="N178" t="s">
        <v>30</v>
      </c>
      <c r="O178">
        <f t="shared" si="4"/>
        <v>231.02</v>
      </c>
      <c r="P178" t="str">
        <f t="shared" si="5"/>
        <v>July</v>
      </c>
    </row>
    <row r="179" spans="1:16" x14ac:dyDescent="0.25">
      <c r="A179" t="s">
        <v>211</v>
      </c>
      <c r="B179">
        <v>45</v>
      </c>
      <c r="C179" t="s">
        <v>15</v>
      </c>
      <c r="D179" t="s">
        <v>16</v>
      </c>
      <c r="E179" s="2">
        <v>45773</v>
      </c>
      <c r="F179" t="s">
        <v>29</v>
      </c>
      <c r="G179">
        <v>100</v>
      </c>
      <c r="H179">
        <v>1</v>
      </c>
      <c r="I179">
        <v>137.35</v>
      </c>
      <c r="J179">
        <v>43.2</v>
      </c>
      <c r="K179" t="s">
        <v>18</v>
      </c>
      <c r="L179">
        <v>6.8</v>
      </c>
      <c r="M179">
        <v>8</v>
      </c>
      <c r="N179" t="s">
        <v>19</v>
      </c>
      <c r="O179">
        <f t="shared" si="4"/>
        <v>280.55</v>
      </c>
      <c r="P179" t="str">
        <f t="shared" si="5"/>
        <v>April</v>
      </c>
    </row>
    <row r="180" spans="1:16" x14ac:dyDescent="0.25">
      <c r="A180" t="s">
        <v>212</v>
      </c>
      <c r="B180">
        <v>19</v>
      </c>
      <c r="C180" t="s">
        <v>38</v>
      </c>
      <c r="D180" t="s">
        <v>36</v>
      </c>
      <c r="E180" s="2">
        <v>45816</v>
      </c>
      <c r="F180" t="s">
        <v>29</v>
      </c>
      <c r="G180">
        <v>100</v>
      </c>
      <c r="H180">
        <v>2</v>
      </c>
      <c r="I180">
        <v>4.28</v>
      </c>
      <c r="J180">
        <v>40.369999999999997</v>
      </c>
      <c r="K180" t="s">
        <v>18</v>
      </c>
      <c r="L180">
        <v>7.2</v>
      </c>
      <c r="M180">
        <v>7</v>
      </c>
      <c r="N180" t="s">
        <v>34</v>
      </c>
      <c r="O180">
        <f t="shared" si="4"/>
        <v>244.65</v>
      </c>
      <c r="P180" t="str">
        <f t="shared" si="5"/>
        <v>June</v>
      </c>
    </row>
    <row r="181" spans="1:16" x14ac:dyDescent="0.25">
      <c r="A181" t="s">
        <v>213</v>
      </c>
      <c r="B181">
        <v>59</v>
      </c>
      <c r="C181" t="s">
        <v>21</v>
      </c>
      <c r="D181" t="s">
        <v>52</v>
      </c>
      <c r="E181" s="2">
        <v>45831</v>
      </c>
      <c r="F181" t="s">
        <v>29</v>
      </c>
      <c r="G181">
        <v>100</v>
      </c>
      <c r="H181">
        <v>4</v>
      </c>
      <c r="I181">
        <v>24.66</v>
      </c>
      <c r="J181">
        <v>46.159499999999987</v>
      </c>
      <c r="K181" t="s">
        <v>18</v>
      </c>
      <c r="L181">
        <v>10</v>
      </c>
      <c r="M181">
        <v>7</v>
      </c>
      <c r="N181" t="s">
        <v>19</v>
      </c>
      <c r="O181">
        <f t="shared" si="4"/>
        <v>470.81950000000001</v>
      </c>
      <c r="P181" t="str">
        <f t="shared" si="5"/>
        <v>June</v>
      </c>
    </row>
    <row r="182" spans="1:16" x14ac:dyDescent="0.25">
      <c r="A182" t="s">
        <v>214</v>
      </c>
      <c r="B182">
        <v>62</v>
      </c>
      <c r="C182" t="s">
        <v>15</v>
      </c>
      <c r="D182" t="s">
        <v>16</v>
      </c>
      <c r="E182" s="2">
        <v>45862</v>
      </c>
      <c r="F182" t="s">
        <v>17</v>
      </c>
      <c r="G182">
        <v>200</v>
      </c>
      <c r="H182">
        <v>3</v>
      </c>
      <c r="I182">
        <v>84.16</v>
      </c>
      <c r="J182">
        <v>25.18</v>
      </c>
      <c r="K182" t="s">
        <v>18</v>
      </c>
      <c r="L182">
        <v>9.1999999999999993</v>
      </c>
      <c r="M182">
        <v>7</v>
      </c>
      <c r="N182" t="s">
        <v>25</v>
      </c>
      <c r="O182">
        <f t="shared" si="4"/>
        <v>709.33999999999992</v>
      </c>
      <c r="P182" t="str">
        <f t="shared" si="5"/>
        <v>July</v>
      </c>
    </row>
    <row r="183" spans="1:16" x14ac:dyDescent="0.25">
      <c r="A183" t="s">
        <v>215</v>
      </c>
      <c r="B183">
        <v>23</v>
      </c>
      <c r="C183" t="s">
        <v>21</v>
      </c>
      <c r="D183" t="s">
        <v>27</v>
      </c>
      <c r="E183" s="2">
        <v>45844</v>
      </c>
      <c r="F183" t="s">
        <v>23</v>
      </c>
      <c r="G183">
        <v>150</v>
      </c>
      <c r="H183">
        <v>4</v>
      </c>
      <c r="I183">
        <v>8.06</v>
      </c>
      <c r="J183">
        <v>6.03</v>
      </c>
      <c r="K183" t="s">
        <v>18</v>
      </c>
      <c r="L183">
        <v>10</v>
      </c>
      <c r="M183">
        <v>7</v>
      </c>
      <c r="N183" t="s">
        <v>34</v>
      </c>
      <c r="O183">
        <f t="shared" si="4"/>
        <v>614.08999999999992</v>
      </c>
      <c r="P183" t="str">
        <f t="shared" si="5"/>
        <v>July</v>
      </c>
    </row>
    <row r="184" spans="1:16" x14ac:dyDescent="0.25">
      <c r="A184" t="s">
        <v>216</v>
      </c>
      <c r="B184">
        <v>45</v>
      </c>
      <c r="C184" t="s">
        <v>21</v>
      </c>
      <c r="D184" t="s">
        <v>22</v>
      </c>
      <c r="E184" s="2">
        <v>45665</v>
      </c>
      <c r="F184" t="s">
        <v>29</v>
      </c>
      <c r="G184">
        <v>100</v>
      </c>
      <c r="H184">
        <v>4</v>
      </c>
      <c r="I184">
        <v>39.46</v>
      </c>
      <c r="J184">
        <v>16.25</v>
      </c>
      <c r="K184" t="s">
        <v>18</v>
      </c>
      <c r="L184">
        <v>8.6999999999999993</v>
      </c>
      <c r="M184">
        <v>7</v>
      </c>
      <c r="N184" t="s">
        <v>19</v>
      </c>
      <c r="O184">
        <f t="shared" si="4"/>
        <v>455.71</v>
      </c>
      <c r="P184" t="str">
        <f t="shared" si="5"/>
        <v>January</v>
      </c>
    </row>
    <row r="185" spans="1:16" x14ac:dyDescent="0.25">
      <c r="A185" t="s">
        <v>217</v>
      </c>
      <c r="B185">
        <v>45</v>
      </c>
      <c r="C185" t="s">
        <v>21</v>
      </c>
      <c r="D185" t="s">
        <v>27</v>
      </c>
      <c r="E185" s="2">
        <v>45740</v>
      </c>
      <c r="F185" t="s">
        <v>17</v>
      </c>
      <c r="G185">
        <v>200</v>
      </c>
      <c r="H185">
        <v>1</v>
      </c>
      <c r="I185">
        <v>44.18</v>
      </c>
      <c r="J185">
        <v>7.67</v>
      </c>
      <c r="K185" t="s">
        <v>18</v>
      </c>
      <c r="L185">
        <v>6.5</v>
      </c>
      <c r="M185">
        <v>10</v>
      </c>
      <c r="N185" t="s">
        <v>19</v>
      </c>
      <c r="O185">
        <f t="shared" si="4"/>
        <v>251.85</v>
      </c>
      <c r="P185" t="str">
        <f t="shared" si="5"/>
        <v>March</v>
      </c>
    </row>
    <row r="186" spans="1:16" x14ac:dyDescent="0.25">
      <c r="A186" t="s">
        <v>218</v>
      </c>
      <c r="B186">
        <v>61</v>
      </c>
      <c r="C186" t="s">
        <v>21</v>
      </c>
      <c r="D186" t="s">
        <v>40</v>
      </c>
      <c r="E186" s="2">
        <v>45731</v>
      </c>
      <c r="F186" t="s">
        <v>29</v>
      </c>
      <c r="G186">
        <v>100</v>
      </c>
      <c r="H186">
        <v>3</v>
      </c>
      <c r="I186">
        <v>119.72</v>
      </c>
      <c r="J186">
        <v>4.22</v>
      </c>
      <c r="K186" t="s">
        <v>24</v>
      </c>
      <c r="L186">
        <v>8.3000000000000007</v>
      </c>
      <c r="M186">
        <v>9</v>
      </c>
      <c r="N186" t="s">
        <v>25</v>
      </c>
      <c r="O186">
        <f t="shared" si="4"/>
        <v>423.94000000000005</v>
      </c>
      <c r="P186" t="str">
        <f t="shared" si="5"/>
        <v>March</v>
      </c>
    </row>
    <row r="187" spans="1:16" x14ac:dyDescent="0.25">
      <c r="A187" t="s">
        <v>219</v>
      </c>
      <c r="B187">
        <v>61</v>
      </c>
      <c r="C187" t="s">
        <v>15</v>
      </c>
      <c r="D187" t="s">
        <v>33</v>
      </c>
      <c r="E187" s="2">
        <v>45836</v>
      </c>
      <c r="F187" t="s">
        <v>41</v>
      </c>
      <c r="G187">
        <v>60</v>
      </c>
      <c r="H187">
        <v>3</v>
      </c>
      <c r="I187">
        <v>84.45</v>
      </c>
      <c r="J187">
        <v>46.159499999999987</v>
      </c>
      <c r="K187" t="s">
        <v>24</v>
      </c>
      <c r="L187">
        <v>9.8000000000000007</v>
      </c>
      <c r="M187">
        <v>9</v>
      </c>
      <c r="N187" t="s">
        <v>25</v>
      </c>
      <c r="O187">
        <f t="shared" si="4"/>
        <v>310.60949999999997</v>
      </c>
      <c r="P187" t="str">
        <f t="shared" si="5"/>
        <v>June</v>
      </c>
    </row>
    <row r="188" spans="1:16" x14ac:dyDescent="0.25">
      <c r="A188" t="s">
        <v>220</v>
      </c>
      <c r="B188">
        <v>37</v>
      </c>
      <c r="C188" t="s">
        <v>21</v>
      </c>
      <c r="D188" t="s">
        <v>52</v>
      </c>
      <c r="E188" s="2">
        <v>45752</v>
      </c>
      <c r="F188" t="s">
        <v>41</v>
      </c>
      <c r="G188">
        <v>60</v>
      </c>
      <c r="H188">
        <v>4</v>
      </c>
      <c r="I188">
        <v>88.75</v>
      </c>
      <c r="J188">
        <v>29.22</v>
      </c>
      <c r="K188" t="s">
        <v>18</v>
      </c>
      <c r="L188">
        <v>7.8</v>
      </c>
      <c r="M188">
        <v>8</v>
      </c>
      <c r="N188" t="s">
        <v>30</v>
      </c>
      <c r="O188">
        <f t="shared" si="4"/>
        <v>357.97</v>
      </c>
      <c r="P188" t="str">
        <f t="shared" si="5"/>
        <v>April</v>
      </c>
    </row>
    <row r="189" spans="1:16" x14ac:dyDescent="0.25">
      <c r="A189" t="s">
        <v>221</v>
      </c>
      <c r="B189">
        <v>47</v>
      </c>
      <c r="C189" t="s">
        <v>38</v>
      </c>
      <c r="D189" t="s">
        <v>16</v>
      </c>
      <c r="E189" s="2">
        <v>45878</v>
      </c>
      <c r="F189" t="s">
        <v>23</v>
      </c>
      <c r="G189">
        <v>150</v>
      </c>
      <c r="H189">
        <v>2</v>
      </c>
      <c r="I189">
        <v>8.83</v>
      </c>
      <c r="J189">
        <v>26.3</v>
      </c>
      <c r="K189" t="s">
        <v>18</v>
      </c>
      <c r="L189">
        <v>7.6</v>
      </c>
      <c r="M189">
        <v>10</v>
      </c>
      <c r="N189" t="s">
        <v>19</v>
      </c>
      <c r="O189">
        <f t="shared" si="4"/>
        <v>335.13</v>
      </c>
      <c r="P189" t="str">
        <f t="shared" si="5"/>
        <v>August</v>
      </c>
    </row>
    <row r="190" spans="1:16" x14ac:dyDescent="0.25">
      <c r="A190" t="s">
        <v>222</v>
      </c>
      <c r="B190">
        <v>28</v>
      </c>
      <c r="C190" t="s">
        <v>15</v>
      </c>
      <c r="D190" t="s">
        <v>27</v>
      </c>
      <c r="E190" s="2">
        <v>45667</v>
      </c>
      <c r="F190" t="s">
        <v>41</v>
      </c>
      <c r="G190">
        <v>60</v>
      </c>
      <c r="H190">
        <v>4</v>
      </c>
      <c r="I190">
        <v>40.61</v>
      </c>
      <c r="J190">
        <v>3.27</v>
      </c>
      <c r="K190" t="s">
        <v>24</v>
      </c>
      <c r="L190">
        <v>8.6999999999999993</v>
      </c>
      <c r="M190">
        <v>9</v>
      </c>
      <c r="N190" t="s">
        <v>34</v>
      </c>
      <c r="O190">
        <f t="shared" si="4"/>
        <v>283.88</v>
      </c>
      <c r="P190" t="str">
        <f t="shared" si="5"/>
        <v>January</v>
      </c>
    </row>
    <row r="191" spans="1:16" x14ac:dyDescent="0.25">
      <c r="A191" t="s">
        <v>223</v>
      </c>
      <c r="B191">
        <v>45</v>
      </c>
      <c r="C191" t="s">
        <v>21</v>
      </c>
      <c r="D191" t="s">
        <v>52</v>
      </c>
      <c r="E191" s="2">
        <v>45697</v>
      </c>
      <c r="F191" t="s">
        <v>29</v>
      </c>
      <c r="G191">
        <v>100</v>
      </c>
      <c r="H191">
        <v>2</v>
      </c>
      <c r="I191">
        <v>69.319999999999993</v>
      </c>
      <c r="J191">
        <v>20.71</v>
      </c>
      <c r="K191" t="s">
        <v>18</v>
      </c>
      <c r="L191">
        <v>7.2</v>
      </c>
      <c r="M191">
        <v>9</v>
      </c>
      <c r="N191" t="s">
        <v>19</v>
      </c>
      <c r="O191">
        <f t="shared" si="4"/>
        <v>290.02999999999997</v>
      </c>
      <c r="P191" t="str">
        <f t="shared" si="5"/>
        <v>February</v>
      </c>
    </row>
    <row r="192" spans="1:16" x14ac:dyDescent="0.25">
      <c r="A192" t="s">
        <v>224</v>
      </c>
      <c r="B192">
        <v>42</v>
      </c>
      <c r="C192" t="s">
        <v>15</v>
      </c>
      <c r="D192" t="s">
        <v>40</v>
      </c>
      <c r="E192" s="2">
        <v>45731</v>
      </c>
      <c r="F192" t="s">
        <v>23</v>
      </c>
      <c r="G192">
        <v>150</v>
      </c>
      <c r="H192">
        <v>3</v>
      </c>
      <c r="I192">
        <v>106.57</v>
      </c>
      <c r="J192">
        <v>12.43</v>
      </c>
      <c r="K192" t="s">
        <v>18</v>
      </c>
      <c r="L192">
        <v>8.4</v>
      </c>
      <c r="M192">
        <v>7</v>
      </c>
      <c r="N192" t="s">
        <v>19</v>
      </c>
      <c r="O192">
        <f t="shared" si="4"/>
        <v>568.99999999999989</v>
      </c>
      <c r="P192" t="str">
        <f t="shared" si="5"/>
        <v>March</v>
      </c>
    </row>
    <row r="193" spans="1:16" x14ac:dyDescent="0.25">
      <c r="A193" t="s">
        <v>225</v>
      </c>
      <c r="B193">
        <v>56</v>
      </c>
      <c r="C193" t="s">
        <v>21</v>
      </c>
      <c r="D193" t="s">
        <v>33</v>
      </c>
      <c r="E193" s="2">
        <v>45878</v>
      </c>
      <c r="F193" t="s">
        <v>17</v>
      </c>
      <c r="G193">
        <v>200</v>
      </c>
      <c r="H193">
        <v>4</v>
      </c>
      <c r="I193">
        <v>13.69</v>
      </c>
      <c r="J193">
        <v>18.68</v>
      </c>
      <c r="K193" t="s">
        <v>18</v>
      </c>
      <c r="L193">
        <v>8.1</v>
      </c>
      <c r="M193">
        <v>7</v>
      </c>
      <c r="N193" t="s">
        <v>19</v>
      </c>
      <c r="O193">
        <f t="shared" si="4"/>
        <v>832.37</v>
      </c>
      <c r="P193" t="str">
        <f t="shared" si="5"/>
        <v>August</v>
      </c>
    </row>
    <row r="194" spans="1:16" x14ac:dyDescent="0.25">
      <c r="A194" t="s">
        <v>226</v>
      </c>
      <c r="B194">
        <v>50</v>
      </c>
      <c r="C194" t="s">
        <v>21</v>
      </c>
      <c r="D194" t="s">
        <v>36</v>
      </c>
      <c r="E194" s="2">
        <v>45722</v>
      </c>
      <c r="F194" t="s">
        <v>41</v>
      </c>
      <c r="G194">
        <v>60</v>
      </c>
      <c r="H194">
        <v>1</v>
      </c>
      <c r="I194">
        <v>38.520000000000003</v>
      </c>
      <c r="J194">
        <v>2</v>
      </c>
      <c r="K194" t="s">
        <v>24</v>
      </c>
      <c r="L194">
        <v>7.3</v>
      </c>
      <c r="M194">
        <v>10</v>
      </c>
      <c r="N194" t="s">
        <v>19</v>
      </c>
      <c r="O194">
        <f t="shared" si="4"/>
        <v>100.52000000000001</v>
      </c>
      <c r="P194" t="str">
        <f t="shared" si="5"/>
        <v>March</v>
      </c>
    </row>
    <row r="195" spans="1:16" x14ac:dyDescent="0.25">
      <c r="A195" t="s">
        <v>227</v>
      </c>
      <c r="B195">
        <v>18</v>
      </c>
      <c r="C195" t="s">
        <v>21</v>
      </c>
      <c r="D195" t="s">
        <v>22</v>
      </c>
      <c r="E195" s="2">
        <v>45737</v>
      </c>
      <c r="F195" t="s">
        <v>23</v>
      </c>
      <c r="G195">
        <v>150</v>
      </c>
      <c r="H195">
        <v>4</v>
      </c>
      <c r="I195">
        <v>137.36850000000001</v>
      </c>
      <c r="J195">
        <v>24.92</v>
      </c>
      <c r="K195" t="s">
        <v>18</v>
      </c>
      <c r="L195">
        <v>9.5</v>
      </c>
      <c r="M195">
        <v>7</v>
      </c>
      <c r="N195" t="s">
        <v>34</v>
      </c>
      <c r="O195">
        <f t="shared" ref="O195:O258" si="6">(G195*H195)+I195+J195</f>
        <v>762.2885</v>
      </c>
      <c r="P195" t="str">
        <f t="shared" ref="P195:P258" si="7">TEXT(E195, "mmmm")</f>
        <v>March</v>
      </c>
    </row>
    <row r="196" spans="1:16" x14ac:dyDescent="0.25">
      <c r="A196" t="s">
        <v>228</v>
      </c>
      <c r="B196">
        <v>44</v>
      </c>
      <c r="C196" t="s">
        <v>15</v>
      </c>
      <c r="D196" t="s">
        <v>52</v>
      </c>
      <c r="E196" s="2">
        <v>45847</v>
      </c>
      <c r="F196" t="s">
        <v>23</v>
      </c>
      <c r="G196">
        <v>150</v>
      </c>
      <c r="H196">
        <v>3</v>
      </c>
      <c r="I196">
        <v>26.9</v>
      </c>
      <c r="J196">
        <v>1.45</v>
      </c>
      <c r="K196" t="s">
        <v>18</v>
      </c>
      <c r="L196">
        <v>9</v>
      </c>
      <c r="M196">
        <v>6</v>
      </c>
      <c r="N196" t="s">
        <v>19</v>
      </c>
      <c r="O196">
        <f t="shared" si="6"/>
        <v>478.34999999999997</v>
      </c>
      <c r="P196" t="str">
        <f t="shared" si="7"/>
        <v>July</v>
      </c>
    </row>
    <row r="197" spans="1:16" x14ac:dyDescent="0.25">
      <c r="A197" t="s">
        <v>229</v>
      </c>
      <c r="B197">
        <v>69</v>
      </c>
      <c r="C197" t="s">
        <v>21</v>
      </c>
      <c r="D197" t="s">
        <v>52</v>
      </c>
      <c r="E197" s="2">
        <v>45863</v>
      </c>
      <c r="F197" t="s">
        <v>17</v>
      </c>
      <c r="G197">
        <v>200</v>
      </c>
      <c r="H197">
        <v>1</v>
      </c>
      <c r="I197">
        <v>76.61</v>
      </c>
      <c r="J197">
        <v>14.8</v>
      </c>
      <c r="K197" t="s">
        <v>18</v>
      </c>
      <c r="L197">
        <v>7.5</v>
      </c>
      <c r="M197">
        <v>7</v>
      </c>
      <c r="N197" t="s">
        <v>25</v>
      </c>
      <c r="O197">
        <f t="shared" si="6"/>
        <v>291.41000000000003</v>
      </c>
      <c r="P197" t="str">
        <f t="shared" si="7"/>
        <v>July</v>
      </c>
    </row>
    <row r="198" spans="1:16" x14ac:dyDescent="0.25">
      <c r="A198" t="s">
        <v>230</v>
      </c>
      <c r="B198">
        <v>30</v>
      </c>
      <c r="C198" t="s">
        <v>15</v>
      </c>
      <c r="D198" t="s">
        <v>36</v>
      </c>
      <c r="E198" s="2">
        <v>45849</v>
      </c>
      <c r="F198" t="s">
        <v>41</v>
      </c>
      <c r="G198">
        <v>60</v>
      </c>
      <c r="H198">
        <v>1</v>
      </c>
      <c r="I198">
        <v>93.29</v>
      </c>
      <c r="J198">
        <v>21.19</v>
      </c>
      <c r="K198" t="s">
        <v>18</v>
      </c>
      <c r="L198">
        <v>8</v>
      </c>
      <c r="M198">
        <v>10</v>
      </c>
      <c r="N198" t="s">
        <v>30</v>
      </c>
      <c r="O198">
        <f t="shared" si="6"/>
        <v>174.48000000000002</v>
      </c>
      <c r="P198" t="str">
        <f t="shared" si="7"/>
        <v>July</v>
      </c>
    </row>
    <row r="199" spans="1:16" x14ac:dyDescent="0.25">
      <c r="A199" t="s">
        <v>231</v>
      </c>
      <c r="B199">
        <v>58</v>
      </c>
      <c r="C199" t="s">
        <v>15</v>
      </c>
      <c r="D199" t="s">
        <v>52</v>
      </c>
      <c r="E199" s="2">
        <v>45813</v>
      </c>
      <c r="F199" t="s">
        <v>41</v>
      </c>
      <c r="G199">
        <v>60</v>
      </c>
      <c r="H199">
        <v>2</v>
      </c>
      <c r="I199">
        <v>77.150000000000006</v>
      </c>
      <c r="J199">
        <v>29.11</v>
      </c>
      <c r="K199" t="s">
        <v>18</v>
      </c>
      <c r="L199">
        <v>7.6</v>
      </c>
      <c r="M199">
        <v>7</v>
      </c>
      <c r="N199" t="s">
        <v>19</v>
      </c>
      <c r="O199">
        <f t="shared" si="6"/>
        <v>226.26</v>
      </c>
      <c r="P199" t="str">
        <f t="shared" si="7"/>
        <v>June</v>
      </c>
    </row>
    <row r="200" spans="1:16" x14ac:dyDescent="0.25">
      <c r="A200" t="s">
        <v>232</v>
      </c>
      <c r="B200">
        <v>20</v>
      </c>
      <c r="C200" t="s">
        <v>15</v>
      </c>
      <c r="D200" t="s">
        <v>40</v>
      </c>
      <c r="E200" s="2">
        <v>45857</v>
      </c>
      <c r="F200" t="s">
        <v>41</v>
      </c>
      <c r="G200">
        <v>60</v>
      </c>
      <c r="H200">
        <v>1</v>
      </c>
      <c r="I200">
        <v>102.18</v>
      </c>
      <c r="J200">
        <v>22.56</v>
      </c>
      <c r="K200" t="s">
        <v>18</v>
      </c>
      <c r="L200">
        <v>7</v>
      </c>
      <c r="M200">
        <v>9</v>
      </c>
      <c r="N200" t="s">
        <v>34</v>
      </c>
      <c r="O200">
        <f t="shared" si="6"/>
        <v>184.74</v>
      </c>
      <c r="P200" t="str">
        <f t="shared" si="7"/>
        <v>July</v>
      </c>
    </row>
    <row r="201" spans="1:16" x14ac:dyDescent="0.25">
      <c r="A201" t="s">
        <v>233</v>
      </c>
      <c r="B201">
        <v>56</v>
      </c>
      <c r="C201" t="s">
        <v>15</v>
      </c>
      <c r="D201" t="s">
        <v>40</v>
      </c>
      <c r="E201" s="2">
        <v>45681</v>
      </c>
      <c r="F201" t="s">
        <v>23</v>
      </c>
      <c r="G201">
        <v>150</v>
      </c>
      <c r="H201">
        <v>1</v>
      </c>
      <c r="I201">
        <v>8.14</v>
      </c>
      <c r="J201">
        <v>26.11</v>
      </c>
      <c r="K201" t="s">
        <v>24</v>
      </c>
      <c r="L201">
        <v>5.5</v>
      </c>
      <c r="M201">
        <v>7</v>
      </c>
      <c r="N201" t="s">
        <v>19</v>
      </c>
      <c r="O201">
        <f t="shared" si="6"/>
        <v>184.25</v>
      </c>
      <c r="P201" t="str">
        <f t="shared" si="7"/>
        <v>January</v>
      </c>
    </row>
    <row r="202" spans="1:16" x14ac:dyDescent="0.25">
      <c r="A202" t="s">
        <v>234</v>
      </c>
      <c r="B202">
        <v>23</v>
      </c>
      <c r="C202" t="s">
        <v>21</v>
      </c>
      <c r="D202" t="s">
        <v>36</v>
      </c>
      <c r="E202" s="2">
        <v>45876</v>
      </c>
      <c r="F202" t="s">
        <v>23</v>
      </c>
      <c r="G202">
        <v>150</v>
      </c>
      <c r="H202">
        <v>4</v>
      </c>
      <c r="I202">
        <v>79.03</v>
      </c>
      <c r="J202">
        <v>22.06</v>
      </c>
      <c r="K202" t="s">
        <v>24</v>
      </c>
      <c r="L202">
        <v>7.3</v>
      </c>
      <c r="M202">
        <v>9</v>
      </c>
      <c r="N202" t="s">
        <v>34</v>
      </c>
      <c r="O202">
        <f t="shared" si="6"/>
        <v>701.08999999999992</v>
      </c>
      <c r="P202" t="str">
        <f t="shared" si="7"/>
        <v>August</v>
      </c>
    </row>
    <row r="203" spans="1:16" x14ac:dyDescent="0.25">
      <c r="A203" t="s">
        <v>235</v>
      </c>
      <c r="B203">
        <v>25</v>
      </c>
      <c r="C203" t="s">
        <v>21</v>
      </c>
      <c r="D203" t="s">
        <v>22</v>
      </c>
      <c r="E203" s="2">
        <v>45828</v>
      </c>
      <c r="F203" t="s">
        <v>29</v>
      </c>
      <c r="G203">
        <v>100</v>
      </c>
      <c r="H203">
        <v>3</v>
      </c>
      <c r="I203">
        <v>42.97</v>
      </c>
      <c r="J203">
        <v>7.89</v>
      </c>
      <c r="K203" t="s">
        <v>18</v>
      </c>
      <c r="L203">
        <v>7.1</v>
      </c>
      <c r="M203">
        <v>9</v>
      </c>
      <c r="N203" t="s">
        <v>34</v>
      </c>
      <c r="O203">
        <f t="shared" si="6"/>
        <v>350.86</v>
      </c>
      <c r="P203" t="str">
        <f t="shared" si="7"/>
        <v>June</v>
      </c>
    </row>
    <row r="204" spans="1:16" x14ac:dyDescent="0.25">
      <c r="A204" t="s">
        <v>236</v>
      </c>
      <c r="B204">
        <v>44</v>
      </c>
      <c r="C204" t="s">
        <v>21</v>
      </c>
      <c r="D204" t="s">
        <v>16</v>
      </c>
      <c r="E204" s="2">
        <v>45738</v>
      </c>
      <c r="F204" t="s">
        <v>29</v>
      </c>
      <c r="G204">
        <v>100</v>
      </c>
      <c r="H204">
        <v>2</v>
      </c>
      <c r="I204">
        <v>48.59</v>
      </c>
      <c r="J204">
        <v>3.2</v>
      </c>
      <c r="K204" t="s">
        <v>18</v>
      </c>
      <c r="L204">
        <v>8.1999999999999993</v>
      </c>
      <c r="M204">
        <v>6</v>
      </c>
      <c r="N204" t="s">
        <v>19</v>
      </c>
      <c r="O204">
        <f t="shared" si="6"/>
        <v>251.79</v>
      </c>
      <c r="P204" t="str">
        <f t="shared" si="7"/>
        <v>March</v>
      </c>
    </row>
    <row r="205" spans="1:16" x14ac:dyDescent="0.25">
      <c r="A205" t="s">
        <v>237</v>
      </c>
      <c r="B205">
        <v>26</v>
      </c>
      <c r="C205" t="s">
        <v>15</v>
      </c>
      <c r="D205" t="s">
        <v>27</v>
      </c>
      <c r="E205" s="2">
        <v>45681</v>
      </c>
      <c r="F205" t="s">
        <v>23</v>
      </c>
      <c r="G205">
        <v>150</v>
      </c>
      <c r="H205">
        <v>4</v>
      </c>
      <c r="I205">
        <v>59.87</v>
      </c>
      <c r="J205">
        <v>37.33</v>
      </c>
      <c r="K205" t="s">
        <v>18</v>
      </c>
      <c r="L205">
        <v>8.6999999999999993</v>
      </c>
      <c r="M205">
        <v>8</v>
      </c>
      <c r="N205" t="s">
        <v>34</v>
      </c>
      <c r="O205">
        <f t="shared" si="6"/>
        <v>697.2</v>
      </c>
      <c r="P205" t="str">
        <f t="shared" si="7"/>
        <v>January</v>
      </c>
    </row>
    <row r="206" spans="1:16" x14ac:dyDescent="0.25">
      <c r="A206" t="s">
        <v>238</v>
      </c>
      <c r="B206">
        <v>54</v>
      </c>
      <c r="C206" t="s">
        <v>21</v>
      </c>
      <c r="D206" t="s">
        <v>16</v>
      </c>
      <c r="E206" s="2">
        <v>45847</v>
      </c>
      <c r="F206" t="s">
        <v>29</v>
      </c>
      <c r="G206">
        <v>100</v>
      </c>
      <c r="H206">
        <v>1</v>
      </c>
      <c r="I206">
        <v>71.19</v>
      </c>
      <c r="J206">
        <v>46.14</v>
      </c>
      <c r="K206" t="s">
        <v>24</v>
      </c>
      <c r="L206">
        <v>6.8</v>
      </c>
      <c r="M206">
        <v>6</v>
      </c>
      <c r="N206" t="s">
        <v>19</v>
      </c>
      <c r="O206">
        <f t="shared" si="6"/>
        <v>217.32999999999998</v>
      </c>
      <c r="P206" t="str">
        <f t="shared" si="7"/>
        <v>July</v>
      </c>
    </row>
    <row r="207" spans="1:16" x14ac:dyDescent="0.25">
      <c r="A207" t="s">
        <v>239</v>
      </c>
      <c r="B207">
        <v>50</v>
      </c>
      <c r="C207" t="s">
        <v>21</v>
      </c>
      <c r="D207" t="s">
        <v>52</v>
      </c>
      <c r="E207" s="2">
        <v>45812</v>
      </c>
      <c r="F207" t="s">
        <v>41</v>
      </c>
      <c r="G207">
        <v>60</v>
      </c>
      <c r="H207">
        <v>1</v>
      </c>
      <c r="I207">
        <v>42.49</v>
      </c>
      <c r="J207">
        <v>14.26</v>
      </c>
      <c r="K207" t="s">
        <v>24</v>
      </c>
      <c r="L207">
        <v>8.6</v>
      </c>
      <c r="M207">
        <v>7</v>
      </c>
      <c r="N207" t="s">
        <v>19</v>
      </c>
      <c r="O207">
        <f t="shared" si="6"/>
        <v>116.75000000000001</v>
      </c>
      <c r="P207" t="str">
        <f t="shared" si="7"/>
        <v>June</v>
      </c>
    </row>
    <row r="208" spans="1:16" x14ac:dyDescent="0.25">
      <c r="A208" t="s">
        <v>240</v>
      </c>
      <c r="B208">
        <v>68</v>
      </c>
      <c r="C208" t="s">
        <v>15</v>
      </c>
      <c r="D208" t="s">
        <v>27</v>
      </c>
      <c r="E208" s="2">
        <v>45860</v>
      </c>
      <c r="F208" t="s">
        <v>41</v>
      </c>
      <c r="G208">
        <v>60</v>
      </c>
      <c r="H208">
        <v>2</v>
      </c>
      <c r="I208">
        <v>50.19</v>
      </c>
      <c r="J208">
        <v>9.42</v>
      </c>
      <c r="K208" t="s">
        <v>18</v>
      </c>
      <c r="L208">
        <v>6.6</v>
      </c>
      <c r="M208">
        <v>8</v>
      </c>
      <c r="N208" t="s">
        <v>25</v>
      </c>
      <c r="O208">
        <f t="shared" si="6"/>
        <v>179.60999999999999</v>
      </c>
      <c r="P208" t="str">
        <f t="shared" si="7"/>
        <v>July</v>
      </c>
    </row>
    <row r="209" spans="1:16" x14ac:dyDescent="0.25">
      <c r="A209" t="s">
        <v>241</v>
      </c>
      <c r="B209">
        <v>59</v>
      </c>
      <c r="C209" t="s">
        <v>38</v>
      </c>
      <c r="D209" t="s">
        <v>36</v>
      </c>
      <c r="E209" s="2">
        <v>45820</v>
      </c>
      <c r="F209" t="s">
        <v>41</v>
      </c>
      <c r="G209">
        <v>60</v>
      </c>
      <c r="H209">
        <v>3</v>
      </c>
      <c r="I209">
        <v>9.42</v>
      </c>
      <c r="J209">
        <v>1.95</v>
      </c>
      <c r="K209" t="s">
        <v>18</v>
      </c>
      <c r="L209">
        <v>7.8</v>
      </c>
      <c r="M209">
        <v>10</v>
      </c>
      <c r="N209" t="s">
        <v>19</v>
      </c>
      <c r="O209">
        <f t="shared" si="6"/>
        <v>191.36999999999998</v>
      </c>
      <c r="P209" t="str">
        <f t="shared" si="7"/>
        <v>June</v>
      </c>
    </row>
    <row r="210" spans="1:16" x14ac:dyDescent="0.25">
      <c r="A210" t="s">
        <v>242</v>
      </c>
      <c r="B210">
        <v>61</v>
      </c>
      <c r="C210" t="s">
        <v>38</v>
      </c>
      <c r="D210" t="s">
        <v>36</v>
      </c>
      <c r="E210" s="2">
        <v>45808</v>
      </c>
      <c r="F210" t="s">
        <v>41</v>
      </c>
      <c r="G210">
        <v>60</v>
      </c>
      <c r="H210">
        <v>2</v>
      </c>
      <c r="I210">
        <v>11.87</v>
      </c>
      <c r="J210">
        <v>10.99</v>
      </c>
      <c r="K210" t="s">
        <v>24</v>
      </c>
      <c r="L210">
        <v>7.1</v>
      </c>
      <c r="M210">
        <v>9</v>
      </c>
      <c r="N210" t="s">
        <v>25</v>
      </c>
      <c r="O210">
        <f t="shared" si="6"/>
        <v>142.86000000000001</v>
      </c>
      <c r="P210" t="str">
        <f t="shared" si="7"/>
        <v>May</v>
      </c>
    </row>
    <row r="211" spans="1:16" x14ac:dyDescent="0.25">
      <c r="A211" t="s">
        <v>243</v>
      </c>
      <c r="B211">
        <v>41</v>
      </c>
      <c r="C211" t="s">
        <v>15</v>
      </c>
      <c r="D211" t="s">
        <v>22</v>
      </c>
      <c r="E211" s="2">
        <v>45741</v>
      </c>
      <c r="F211" t="s">
        <v>23</v>
      </c>
      <c r="G211">
        <v>150</v>
      </c>
      <c r="H211">
        <v>4</v>
      </c>
      <c r="I211">
        <v>92.66</v>
      </c>
      <c r="J211">
        <v>8.56</v>
      </c>
      <c r="K211" t="s">
        <v>18</v>
      </c>
      <c r="L211">
        <v>9.1</v>
      </c>
      <c r="M211">
        <v>7</v>
      </c>
      <c r="N211" t="s">
        <v>19</v>
      </c>
      <c r="O211">
        <f t="shared" si="6"/>
        <v>701.21999999999991</v>
      </c>
      <c r="P211" t="str">
        <f t="shared" si="7"/>
        <v>March</v>
      </c>
    </row>
    <row r="212" spans="1:16" x14ac:dyDescent="0.25">
      <c r="A212" t="s">
        <v>244</v>
      </c>
      <c r="B212">
        <v>32</v>
      </c>
      <c r="C212" t="s">
        <v>15</v>
      </c>
      <c r="D212" t="s">
        <v>27</v>
      </c>
      <c r="E212" s="2">
        <v>45801</v>
      </c>
      <c r="F212" t="s">
        <v>29</v>
      </c>
      <c r="G212">
        <v>100</v>
      </c>
      <c r="H212">
        <v>2</v>
      </c>
      <c r="I212">
        <v>110.37</v>
      </c>
      <c r="J212">
        <v>5.0199999999999996</v>
      </c>
      <c r="K212" t="s">
        <v>18</v>
      </c>
      <c r="L212">
        <v>8.1999999999999993</v>
      </c>
      <c r="M212">
        <v>8</v>
      </c>
      <c r="N212" t="s">
        <v>30</v>
      </c>
      <c r="O212">
        <f t="shared" si="6"/>
        <v>315.39</v>
      </c>
      <c r="P212" t="str">
        <f t="shared" si="7"/>
        <v>May</v>
      </c>
    </row>
    <row r="213" spans="1:16" x14ac:dyDescent="0.25">
      <c r="A213" t="s">
        <v>245</v>
      </c>
      <c r="B213">
        <v>49</v>
      </c>
      <c r="C213" t="s">
        <v>38</v>
      </c>
      <c r="D213" t="s">
        <v>40</v>
      </c>
      <c r="E213" s="2">
        <v>45781</v>
      </c>
      <c r="F213" t="s">
        <v>41</v>
      </c>
      <c r="G213">
        <v>60</v>
      </c>
      <c r="H213">
        <v>1</v>
      </c>
      <c r="I213">
        <v>102.98</v>
      </c>
      <c r="J213">
        <v>39.22</v>
      </c>
      <c r="K213" t="s">
        <v>18</v>
      </c>
      <c r="L213">
        <v>7.8</v>
      </c>
      <c r="M213">
        <v>9</v>
      </c>
      <c r="N213" t="s">
        <v>19</v>
      </c>
      <c r="O213">
        <f t="shared" si="6"/>
        <v>202.20000000000002</v>
      </c>
      <c r="P213" t="str">
        <f t="shared" si="7"/>
        <v>May</v>
      </c>
    </row>
    <row r="214" spans="1:16" x14ac:dyDescent="0.25">
      <c r="A214" t="s">
        <v>246</v>
      </c>
      <c r="B214">
        <v>49</v>
      </c>
      <c r="C214" t="s">
        <v>21</v>
      </c>
      <c r="D214" t="s">
        <v>27</v>
      </c>
      <c r="E214" s="2">
        <v>45794</v>
      </c>
      <c r="F214" t="s">
        <v>23</v>
      </c>
      <c r="G214">
        <v>150</v>
      </c>
      <c r="H214">
        <v>4</v>
      </c>
      <c r="I214">
        <v>58.11</v>
      </c>
      <c r="J214">
        <v>26.61</v>
      </c>
      <c r="K214" t="s">
        <v>18</v>
      </c>
      <c r="L214">
        <v>7.1</v>
      </c>
      <c r="M214">
        <v>7</v>
      </c>
      <c r="N214" t="s">
        <v>19</v>
      </c>
      <c r="O214">
        <f t="shared" si="6"/>
        <v>684.72</v>
      </c>
      <c r="P214" t="str">
        <f t="shared" si="7"/>
        <v>May</v>
      </c>
    </row>
    <row r="215" spans="1:16" x14ac:dyDescent="0.25">
      <c r="A215" t="s">
        <v>247</v>
      </c>
      <c r="B215">
        <v>41</v>
      </c>
      <c r="C215" t="s">
        <v>15</v>
      </c>
      <c r="D215" t="s">
        <v>52</v>
      </c>
      <c r="E215" s="2">
        <v>45777</v>
      </c>
      <c r="F215" t="s">
        <v>41</v>
      </c>
      <c r="G215">
        <v>60</v>
      </c>
      <c r="H215">
        <v>1</v>
      </c>
      <c r="I215">
        <v>134.77000000000001</v>
      </c>
      <c r="J215">
        <v>27</v>
      </c>
      <c r="K215" t="s">
        <v>18</v>
      </c>
      <c r="L215">
        <v>7.5</v>
      </c>
      <c r="M215">
        <v>10</v>
      </c>
      <c r="N215" t="s">
        <v>19</v>
      </c>
      <c r="O215">
        <f t="shared" si="6"/>
        <v>221.77</v>
      </c>
      <c r="P215" t="str">
        <f t="shared" si="7"/>
        <v>April</v>
      </c>
    </row>
    <row r="216" spans="1:16" x14ac:dyDescent="0.25">
      <c r="A216" t="s">
        <v>248</v>
      </c>
      <c r="B216">
        <v>58</v>
      </c>
      <c r="C216" t="s">
        <v>21</v>
      </c>
      <c r="D216" t="s">
        <v>40</v>
      </c>
      <c r="E216" s="2">
        <v>45724</v>
      </c>
      <c r="F216" t="s">
        <v>29</v>
      </c>
      <c r="G216">
        <v>100</v>
      </c>
      <c r="H216">
        <v>3</v>
      </c>
      <c r="I216">
        <v>122.71</v>
      </c>
      <c r="J216">
        <v>15.01</v>
      </c>
      <c r="K216" t="s">
        <v>24</v>
      </c>
      <c r="L216">
        <v>10</v>
      </c>
      <c r="M216">
        <v>7</v>
      </c>
      <c r="N216" t="s">
        <v>19</v>
      </c>
      <c r="O216">
        <f t="shared" si="6"/>
        <v>437.71999999999997</v>
      </c>
      <c r="P216" t="str">
        <f t="shared" si="7"/>
        <v>March</v>
      </c>
    </row>
    <row r="217" spans="1:16" x14ac:dyDescent="0.25">
      <c r="A217" t="s">
        <v>249</v>
      </c>
      <c r="B217">
        <v>69</v>
      </c>
      <c r="C217" t="s">
        <v>21</v>
      </c>
      <c r="D217" t="s">
        <v>33</v>
      </c>
      <c r="E217" s="2">
        <v>45818</v>
      </c>
      <c r="F217" t="s">
        <v>29</v>
      </c>
      <c r="G217">
        <v>100</v>
      </c>
      <c r="H217">
        <v>1</v>
      </c>
      <c r="I217">
        <v>108.48</v>
      </c>
      <c r="J217">
        <v>7.02</v>
      </c>
      <c r="K217" t="s">
        <v>18</v>
      </c>
      <c r="L217">
        <v>7.2</v>
      </c>
      <c r="M217">
        <v>7</v>
      </c>
      <c r="N217" t="s">
        <v>25</v>
      </c>
      <c r="O217">
        <f t="shared" si="6"/>
        <v>215.50000000000003</v>
      </c>
      <c r="P217" t="str">
        <f t="shared" si="7"/>
        <v>June</v>
      </c>
    </row>
    <row r="218" spans="1:16" x14ac:dyDescent="0.25">
      <c r="A218" t="s">
        <v>250</v>
      </c>
      <c r="B218">
        <v>66</v>
      </c>
      <c r="C218" t="s">
        <v>21</v>
      </c>
      <c r="D218" t="s">
        <v>33</v>
      </c>
      <c r="E218" s="2">
        <v>45822</v>
      </c>
      <c r="F218" t="s">
        <v>29</v>
      </c>
      <c r="G218">
        <v>100</v>
      </c>
      <c r="H218">
        <v>1</v>
      </c>
      <c r="I218">
        <v>49.29</v>
      </c>
      <c r="J218">
        <v>18.739999999999998</v>
      </c>
      <c r="K218" t="s">
        <v>18</v>
      </c>
      <c r="L218">
        <v>8.6999999999999993</v>
      </c>
      <c r="M218">
        <v>7</v>
      </c>
      <c r="N218" t="s">
        <v>25</v>
      </c>
      <c r="O218">
        <f t="shared" si="6"/>
        <v>168.03</v>
      </c>
      <c r="P218" t="str">
        <f t="shared" si="7"/>
        <v>June</v>
      </c>
    </row>
    <row r="219" spans="1:16" x14ac:dyDescent="0.25">
      <c r="A219" t="s">
        <v>251</v>
      </c>
      <c r="B219">
        <v>66</v>
      </c>
      <c r="C219" t="s">
        <v>21</v>
      </c>
      <c r="D219" t="s">
        <v>33</v>
      </c>
      <c r="E219" s="2">
        <v>45725</v>
      </c>
      <c r="F219" t="s">
        <v>41</v>
      </c>
      <c r="G219">
        <v>60</v>
      </c>
      <c r="H219">
        <v>2</v>
      </c>
      <c r="I219">
        <v>79.87</v>
      </c>
      <c r="J219">
        <v>17.510000000000002</v>
      </c>
      <c r="K219" t="s">
        <v>18</v>
      </c>
      <c r="L219">
        <v>7.8</v>
      </c>
      <c r="M219">
        <v>6</v>
      </c>
      <c r="N219" t="s">
        <v>25</v>
      </c>
      <c r="O219">
        <f t="shared" si="6"/>
        <v>217.38</v>
      </c>
      <c r="P219" t="str">
        <f t="shared" si="7"/>
        <v>March</v>
      </c>
    </row>
    <row r="220" spans="1:16" x14ac:dyDescent="0.25">
      <c r="A220" t="s">
        <v>252</v>
      </c>
      <c r="B220">
        <v>69</v>
      </c>
      <c r="C220" t="s">
        <v>21</v>
      </c>
      <c r="D220" t="s">
        <v>36</v>
      </c>
      <c r="E220" s="2">
        <v>45855</v>
      </c>
      <c r="F220" t="s">
        <v>41</v>
      </c>
      <c r="G220">
        <v>60</v>
      </c>
      <c r="H220">
        <v>1</v>
      </c>
      <c r="I220">
        <v>50.23</v>
      </c>
      <c r="J220">
        <v>3.08</v>
      </c>
      <c r="K220" t="s">
        <v>18</v>
      </c>
      <c r="L220">
        <v>8.6999999999999993</v>
      </c>
      <c r="M220">
        <v>5</v>
      </c>
      <c r="N220" t="s">
        <v>25</v>
      </c>
      <c r="O220">
        <f t="shared" si="6"/>
        <v>113.30999999999999</v>
      </c>
      <c r="P220" t="str">
        <f t="shared" si="7"/>
        <v>July</v>
      </c>
    </row>
    <row r="221" spans="1:16" x14ac:dyDescent="0.25">
      <c r="A221" t="s">
        <v>253</v>
      </c>
      <c r="B221">
        <v>29</v>
      </c>
      <c r="C221" t="s">
        <v>15</v>
      </c>
      <c r="D221" t="s">
        <v>27</v>
      </c>
      <c r="E221" s="2">
        <v>45804</v>
      </c>
      <c r="F221" t="s">
        <v>17</v>
      </c>
      <c r="G221">
        <v>200</v>
      </c>
      <c r="H221">
        <v>4</v>
      </c>
      <c r="I221">
        <v>58.24</v>
      </c>
      <c r="J221">
        <v>27.06</v>
      </c>
      <c r="K221" t="s">
        <v>18</v>
      </c>
      <c r="L221">
        <v>9.3000000000000007</v>
      </c>
      <c r="M221">
        <v>8</v>
      </c>
      <c r="N221" t="s">
        <v>34</v>
      </c>
      <c r="O221">
        <f t="shared" si="6"/>
        <v>885.3</v>
      </c>
      <c r="P221" t="str">
        <f t="shared" si="7"/>
        <v>May</v>
      </c>
    </row>
    <row r="222" spans="1:16" x14ac:dyDescent="0.25">
      <c r="A222" t="s">
        <v>254</v>
      </c>
      <c r="B222">
        <v>56</v>
      </c>
      <c r="C222" t="s">
        <v>15</v>
      </c>
      <c r="D222" t="s">
        <v>33</v>
      </c>
      <c r="E222" s="2">
        <v>45873</v>
      </c>
      <c r="F222" t="s">
        <v>41</v>
      </c>
      <c r="G222">
        <v>60</v>
      </c>
      <c r="H222">
        <v>4</v>
      </c>
      <c r="I222">
        <v>79.760000000000005</v>
      </c>
      <c r="J222">
        <v>16.420000000000002</v>
      </c>
      <c r="K222" t="s">
        <v>18</v>
      </c>
      <c r="L222">
        <v>7.5</v>
      </c>
      <c r="M222">
        <v>8</v>
      </c>
      <c r="N222" t="s">
        <v>19</v>
      </c>
      <c r="O222">
        <f t="shared" si="6"/>
        <v>336.18</v>
      </c>
      <c r="P222" t="str">
        <f t="shared" si="7"/>
        <v>August</v>
      </c>
    </row>
    <row r="223" spans="1:16" x14ac:dyDescent="0.25">
      <c r="A223" t="s">
        <v>255</v>
      </c>
      <c r="B223">
        <v>19</v>
      </c>
      <c r="C223" t="s">
        <v>21</v>
      </c>
      <c r="D223" t="s">
        <v>16</v>
      </c>
      <c r="E223" s="2">
        <v>45764</v>
      </c>
      <c r="F223" t="s">
        <v>23</v>
      </c>
      <c r="G223">
        <v>150</v>
      </c>
      <c r="H223">
        <v>3</v>
      </c>
      <c r="I223">
        <v>137.36850000000001</v>
      </c>
      <c r="J223">
        <v>17.54</v>
      </c>
      <c r="K223" t="s">
        <v>24</v>
      </c>
      <c r="L223">
        <v>9.1</v>
      </c>
      <c r="M223">
        <v>8</v>
      </c>
      <c r="N223" t="s">
        <v>34</v>
      </c>
      <c r="O223">
        <f t="shared" si="6"/>
        <v>604.9085</v>
      </c>
      <c r="P223" t="str">
        <f t="shared" si="7"/>
        <v>April</v>
      </c>
    </row>
    <row r="224" spans="1:16" x14ac:dyDescent="0.25">
      <c r="A224" t="s">
        <v>256</v>
      </c>
      <c r="B224">
        <v>20</v>
      </c>
      <c r="C224" t="s">
        <v>38</v>
      </c>
      <c r="D224" t="s">
        <v>22</v>
      </c>
      <c r="E224" s="2">
        <v>45767</v>
      </c>
      <c r="F224" t="s">
        <v>23</v>
      </c>
      <c r="G224">
        <v>150</v>
      </c>
      <c r="H224">
        <v>4</v>
      </c>
      <c r="I224">
        <v>65.05</v>
      </c>
      <c r="J224">
        <v>9.77</v>
      </c>
      <c r="K224" t="s">
        <v>18</v>
      </c>
      <c r="L224">
        <v>10</v>
      </c>
      <c r="M224">
        <v>8</v>
      </c>
      <c r="N224" t="s">
        <v>34</v>
      </c>
      <c r="O224">
        <f t="shared" si="6"/>
        <v>674.81999999999994</v>
      </c>
      <c r="P224" t="str">
        <f t="shared" si="7"/>
        <v>April</v>
      </c>
    </row>
    <row r="225" spans="1:16" x14ac:dyDescent="0.25">
      <c r="A225" t="s">
        <v>257</v>
      </c>
      <c r="B225">
        <v>66</v>
      </c>
      <c r="C225" t="s">
        <v>15</v>
      </c>
      <c r="D225" t="s">
        <v>16</v>
      </c>
      <c r="E225" s="2">
        <v>45741</v>
      </c>
      <c r="F225" t="s">
        <v>29</v>
      </c>
      <c r="G225">
        <v>100</v>
      </c>
      <c r="H225">
        <v>2</v>
      </c>
      <c r="I225">
        <v>14.31</v>
      </c>
      <c r="J225">
        <v>12.9</v>
      </c>
      <c r="K225" t="s">
        <v>18</v>
      </c>
      <c r="L225">
        <v>8.9</v>
      </c>
      <c r="M225">
        <v>10</v>
      </c>
      <c r="N225" t="s">
        <v>25</v>
      </c>
      <c r="O225">
        <f t="shared" si="6"/>
        <v>227.21</v>
      </c>
      <c r="P225" t="str">
        <f t="shared" si="7"/>
        <v>March</v>
      </c>
    </row>
    <row r="226" spans="1:16" x14ac:dyDescent="0.25">
      <c r="A226" t="s">
        <v>258</v>
      </c>
      <c r="B226">
        <v>54</v>
      </c>
      <c r="C226" t="s">
        <v>21</v>
      </c>
      <c r="D226" t="s">
        <v>33</v>
      </c>
      <c r="E226" s="2">
        <v>45753</v>
      </c>
      <c r="F226" t="s">
        <v>29</v>
      </c>
      <c r="G226">
        <v>100</v>
      </c>
      <c r="H226">
        <v>3</v>
      </c>
      <c r="I226">
        <v>137.36850000000001</v>
      </c>
      <c r="J226">
        <v>27.22</v>
      </c>
      <c r="K226" t="s">
        <v>18</v>
      </c>
      <c r="L226">
        <v>10</v>
      </c>
      <c r="M226">
        <v>8</v>
      </c>
      <c r="N226" t="s">
        <v>19</v>
      </c>
      <c r="O226">
        <f t="shared" si="6"/>
        <v>464.58850000000007</v>
      </c>
      <c r="P226" t="str">
        <f t="shared" si="7"/>
        <v>April</v>
      </c>
    </row>
    <row r="227" spans="1:16" x14ac:dyDescent="0.25">
      <c r="A227" t="s">
        <v>259</v>
      </c>
      <c r="B227">
        <v>66</v>
      </c>
      <c r="C227" t="s">
        <v>21</v>
      </c>
      <c r="D227" t="s">
        <v>22</v>
      </c>
      <c r="E227" s="2">
        <v>45704</v>
      </c>
      <c r="F227" t="s">
        <v>29</v>
      </c>
      <c r="G227">
        <v>100</v>
      </c>
      <c r="H227">
        <v>4</v>
      </c>
      <c r="I227">
        <v>43.38</v>
      </c>
      <c r="J227">
        <v>46.159499999999987</v>
      </c>
      <c r="K227" t="s">
        <v>18</v>
      </c>
      <c r="L227">
        <v>8.6999999999999993</v>
      </c>
      <c r="M227">
        <v>6</v>
      </c>
      <c r="N227" t="s">
        <v>25</v>
      </c>
      <c r="O227">
        <f t="shared" si="6"/>
        <v>489.53949999999998</v>
      </c>
      <c r="P227" t="str">
        <f t="shared" si="7"/>
        <v>February</v>
      </c>
    </row>
    <row r="228" spans="1:16" x14ac:dyDescent="0.25">
      <c r="A228" t="s">
        <v>260</v>
      </c>
      <c r="B228">
        <v>34</v>
      </c>
      <c r="C228" t="s">
        <v>21</v>
      </c>
      <c r="D228" t="s">
        <v>52</v>
      </c>
      <c r="E228" s="2">
        <v>45874</v>
      </c>
      <c r="F228" t="s">
        <v>41</v>
      </c>
      <c r="G228">
        <v>60</v>
      </c>
      <c r="H228">
        <v>2</v>
      </c>
      <c r="I228">
        <v>15.21</v>
      </c>
      <c r="J228">
        <v>46.159499999999987</v>
      </c>
      <c r="K228" t="s">
        <v>24</v>
      </c>
      <c r="L228">
        <v>6.6</v>
      </c>
      <c r="M228">
        <v>6</v>
      </c>
      <c r="N228" t="s">
        <v>30</v>
      </c>
      <c r="O228">
        <f t="shared" si="6"/>
        <v>181.36949999999999</v>
      </c>
      <c r="P228" t="str">
        <f t="shared" si="7"/>
        <v>August</v>
      </c>
    </row>
    <row r="229" spans="1:16" x14ac:dyDescent="0.25">
      <c r="A229" t="s">
        <v>261</v>
      </c>
      <c r="B229">
        <v>66</v>
      </c>
      <c r="C229" t="s">
        <v>21</v>
      </c>
      <c r="D229" t="s">
        <v>16</v>
      </c>
      <c r="E229" s="2">
        <v>45818</v>
      </c>
      <c r="F229" t="s">
        <v>41</v>
      </c>
      <c r="G229">
        <v>60</v>
      </c>
      <c r="H229">
        <v>4</v>
      </c>
      <c r="I229">
        <v>60.02</v>
      </c>
      <c r="J229">
        <v>12.17</v>
      </c>
      <c r="K229" t="s">
        <v>18</v>
      </c>
      <c r="L229">
        <v>8.4</v>
      </c>
      <c r="M229">
        <v>8</v>
      </c>
      <c r="N229" t="s">
        <v>25</v>
      </c>
      <c r="O229">
        <f t="shared" si="6"/>
        <v>312.19</v>
      </c>
      <c r="P229" t="str">
        <f t="shared" si="7"/>
        <v>June</v>
      </c>
    </row>
    <row r="230" spans="1:16" x14ac:dyDescent="0.25">
      <c r="A230" t="s">
        <v>262</v>
      </c>
      <c r="B230">
        <v>19</v>
      </c>
      <c r="C230" t="s">
        <v>21</v>
      </c>
      <c r="D230" t="s">
        <v>27</v>
      </c>
      <c r="E230" s="2">
        <v>45902</v>
      </c>
      <c r="F230" t="s">
        <v>29</v>
      </c>
      <c r="G230">
        <v>100</v>
      </c>
      <c r="H230">
        <v>4</v>
      </c>
      <c r="I230">
        <v>83.27</v>
      </c>
      <c r="J230">
        <v>15.63</v>
      </c>
      <c r="K230" t="s">
        <v>24</v>
      </c>
      <c r="L230">
        <v>7.5</v>
      </c>
      <c r="M230">
        <v>7</v>
      </c>
      <c r="N230" t="s">
        <v>34</v>
      </c>
      <c r="O230">
        <f t="shared" si="6"/>
        <v>498.9</v>
      </c>
      <c r="P230" t="str">
        <f t="shared" si="7"/>
        <v>September</v>
      </c>
    </row>
    <row r="231" spans="1:16" x14ac:dyDescent="0.25">
      <c r="A231" t="s">
        <v>263</v>
      </c>
      <c r="B231">
        <v>19</v>
      </c>
      <c r="C231" t="s">
        <v>21</v>
      </c>
      <c r="D231" t="s">
        <v>27</v>
      </c>
      <c r="E231" s="2">
        <v>45755</v>
      </c>
      <c r="F231" t="s">
        <v>17</v>
      </c>
      <c r="G231">
        <v>200</v>
      </c>
      <c r="H231">
        <v>1</v>
      </c>
      <c r="I231">
        <v>111.31</v>
      </c>
      <c r="J231">
        <v>35.090000000000003</v>
      </c>
      <c r="K231" t="s">
        <v>18</v>
      </c>
      <c r="L231">
        <v>7.1</v>
      </c>
      <c r="M231">
        <v>6</v>
      </c>
      <c r="N231" t="s">
        <v>34</v>
      </c>
      <c r="O231">
        <f t="shared" si="6"/>
        <v>346.4</v>
      </c>
      <c r="P231" t="str">
        <f t="shared" si="7"/>
        <v>April</v>
      </c>
    </row>
    <row r="232" spans="1:16" x14ac:dyDescent="0.25">
      <c r="A232" t="s">
        <v>264</v>
      </c>
      <c r="B232">
        <v>45</v>
      </c>
      <c r="C232" t="s">
        <v>21</v>
      </c>
      <c r="D232" t="s">
        <v>16</v>
      </c>
      <c r="E232" s="2">
        <v>45861</v>
      </c>
      <c r="F232" t="s">
        <v>41</v>
      </c>
      <c r="G232">
        <v>60</v>
      </c>
      <c r="H232">
        <v>4</v>
      </c>
      <c r="I232">
        <v>62.53</v>
      </c>
      <c r="J232">
        <v>8.32</v>
      </c>
      <c r="K232" t="s">
        <v>24</v>
      </c>
      <c r="L232">
        <v>7.9</v>
      </c>
      <c r="M232">
        <v>8</v>
      </c>
      <c r="N232" t="s">
        <v>19</v>
      </c>
      <c r="O232">
        <f t="shared" si="6"/>
        <v>310.84999999999997</v>
      </c>
      <c r="P232" t="str">
        <f t="shared" si="7"/>
        <v>July</v>
      </c>
    </row>
    <row r="233" spans="1:16" x14ac:dyDescent="0.25">
      <c r="A233" t="s">
        <v>265</v>
      </c>
      <c r="B233">
        <v>40</v>
      </c>
      <c r="C233" t="s">
        <v>15</v>
      </c>
      <c r="D233" t="s">
        <v>33</v>
      </c>
      <c r="E233" s="2">
        <v>45806</v>
      </c>
      <c r="F233" t="s">
        <v>41</v>
      </c>
      <c r="G233">
        <v>60</v>
      </c>
      <c r="H233">
        <v>4</v>
      </c>
      <c r="I233">
        <v>35.450000000000003</v>
      </c>
      <c r="J233">
        <v>5.09</v>
      </c>
      <c r="K233" t="s">
        <v>18</v>
      </c>
      <c r="L233">
        <v>7.8</v>
      </c>
      <c r="M233">
        <v>8</v>
      </c>
      <c r="N233" t="s">
        <v>19</v>
      </c>
      <c r="O233">
        <f t="shared" si="6"/>
        <v>280.53999999999996</v>
      </c>
      <c r="P233" t="str">
        <f t="shared" si="7"/>
        <v>May</v>
      </c>
    </row>
    <row r="234" spans="1:16" x14ac:dyDescent="0.25">
      <c r="A234" t="s">
        <v>266</v>
      </c>
      <c r="B234">
        <v>54</v>
      </c>
      <c r="C234" t="s">
        <v>21</v>
      </c>
      <c r="D234" t="s">
        <v>27</v>
      </c>
      <c r="E234" s="2">
        <v>45868</v>
      </c>
      <c r="F234" t="s">
        <v>41</v>
      </c>
      <c r="G234">
        <v>60</v>
      </c>
      <c r="H234">
        <v>2</v>
      </c>
      <c r="I234">
        <v>60.28</v>
      </c>
      <c r="J234">
        <v>19.079999999999998</v>
      </c>
      <c r="K234" t="s">
        <v>18</v>
      </c>
      <c r="L234">
        <v>6.4</v>
      </c>
      <c r="M234">
        <v>10</v>
      </c>
      <c r="N234" t="s">
        <v>19</v>
      </c>
      <c r="O234">
        <f t="shared" si="6"/>
        <v>199.36</v>
      </c>
      <c r="P234" t="str">
        <f t="shared" si="7"/>
        <v>July</v>
      </c>
    </row>
    <row r="235" spans="1:16" x14ac:dyDescent="0.25">
      <c r="A235" t="s">
        <v>267</v>
      </c>
      <c r="B235">
        <v>49</v>
      </c>
      <c r="C235" t="s">
        <v>15</v>
      </c>
      <c r="D235" t="s">
        <v>52</v>
      </c>
      <c r="E235" s="2">
        <v>45823</v>
      </c>
      <c r="F235" t="s">
        <v>17</v>
      </c>
      <c r="G235">
        <v>200</v>
      </c>
      <c r="H235">
        <v>2</v>
      </c>
      <c r="I235">
        <v>58.44</v>
      </c>
      <c r="J235">
        <v>22.94</v>
      </c>
      <c r="K235" t="s">
        <v>18</v>
      </c>
      <c r="L235">
        <v>10</v>
      </c>
      <c r="M235">
        <v>7</v>
      </c>
      <c r="N235" t="s">
        <v>19</v>
      </c>
      <c r="O235">
        <f t="shared" si="6"/>
        <v>481.38</v>
      </c>
      <c r="P235" t="str">
        <f t="shared" si="7"/>
        <v>June</v>
      </c>
    </row>
    <row r="236" spans="1:16" x14ac:dyDescent="0.25">
      <c r="A236" t="s">
        <v>268</v>
      </c>
      <c r="B236">
        <v>50</v>
      </c>
      <c r="C236" t="s">
        <v>15</v>
      </c>
      <c r="D236" t="s">
        <v>40</v>
      </c>
      <c r="E236" s="2">
        <v>45756</v>
      </c>
      <c r="F236" t="s">
        <v>17</v>
      </c>
      <c r="G236">
        <v>200</v>
      </c>
      <c r="H236">
        <v>1</v>
      </c>
      <c r="I236">
        <v>84.4</v>
      </c>
      <c r="J236">
        <v>17.07</v>
      </c>
      <c r="K236" t="s">
        <v>18</v>
      </c>
      <c r="L236">
        <v>9.1999999999999993</v>
      </c>
      <c r="M236">
        <v>7</v>
      </c>
      <c r="N236" t="s">
        <v>19</v>
      </c>
      <c r="O236">
        <f t="shared" si="6"/>
        <v>301.46999999999997</v>
      </c>
      <c r="P236" t="str">
        <f t="shared" si="7"/>
        <v>April</v>
      </c>
    </row>
    <row r="237" spans="1:16" x14ac:dyDescent="0.25">
      <c r="A237" t="s">
        <v>269</v>
      </c>
      <c r="B237">
        <v>18</v>
      </c>
      <c r="C237" t="s">
        <v>21</v>
      </c>
      <c r="D237" t="s">
        <v>33</v>
      </c>
      <c r="E237" s="2">
        <v>45895</v>
      </c>
      <c r="F237" t="s">
        <v>23</v>
      </c>
      <c r="G237">
        <v>150</v>
      </c>
      <c r="H237">
        <v>4</v>
      </c>
      <c r="I237">
        <v>51.63</v>
      </c>
      <c r="J237">
        <v>11.7</v>
      </c>
      <c r="K237" t="s">
        <v>24</v>
      </c>
      <c r="L237">
        <v>8.4</v>
      </c>
      <c r="M237">
        <v>10</v>
      </c>
      <c r="N237" t="s">
        <v>34</v>
      </c>
      <c r="O237">
        <f t="shared" si="6"/>
        <v>663.33</v>
      </c>
      <c r="P237" t="str">
        <f t="shared" si="7"/>
        <v>August</v>
      </c>
    </row>
    <row r="238" spans="1:16" x14ac:dyDescent="0.25">
      <c r="A238" t="s">
        <v>270</v>
      </c>
      <c r="B238">
        <v>36</v>
      </c>
      <c r="C238" t="s">
        <v>15</v>
      </c>
      <c r="D238" t="s">
        <v>52</v>
      </c>
      <c r="E238" s="2">
        <v>45851</v>
      </c>
      <c r="F238" t="s">
        <v>17</v>
      </c>
      <c r="G238">
        <v>200</v>
      </c>
      <c r="H238">
        <v>1</v>
      </c>
      <c r="I238">
        <v>137.36850000000001</v>
      </c>
      <c r="J238">
        <v>22.68</v>
      </c>
      <c r="K238" t="s">
        <v>24</v>
      </c>
      <c r="L238">
        <v>8.1</v>
      </c>
      <c r="M238">
        <v>9</v>
      </c>
      <c r="N238" t="s">
        <v>30</v>
      </c>
      <c r="O238">
        <f t="shared" si="6"/>
        <v>360.04850000000005</v>
      </c>
      <c r="P238" t="str">
        <f t="shared" si="7"/>
        <v>July</v>
      </c>
    </row>
    <row r="239" spans="1:16" x14ac:dyDescent="0.25">
      <c r="A239" t="s">
        <v>271</v>
      </c>
      <c r="B239">
        <v>19</v>
      </c>
      <c r="C239" t="s">
        <v>15</v>
      </c>
      <c r="D239" t="s">
        <v>22</v>
      </c>
      <c r="E239" s="2">
        <v>45763</v>
      </c>
      <c r="F239" t="s">
        <v>23</v>
      </c>
      <c r="G239">
        <v>150</v>
      </c>
      <c r="H239">
        <v>4</v>
      </c>
      <c r="I239">
        <v>113.22</v>
      </c>
      <c r="J239">
        <v>12.79</v>
      </c>
      <c r="K239" t="s">
        <v>18</v>
      </c>
      <c r="L239">
        <v>9.8000000000000007</v>
      </c>
      <c r="M239">
        <v>7</v>
      </c>
      <c r="N239" t="s">
        <v>34</v>
      </c>
      <c r="O239">
        <f t="shared" si="6"/>
        <v>726.01</v>
      </c>
      <c r="P239" t="str">
        <f t="shared" si="7"/>
        <v>April</v>
      </c>
    </row>
    <row r="240" spans="1:16" x14ac:dyDescent="0.25">
      <c r="A240" t="s">
        <v>272</v>
      </c>
      <c r="B240">
        <v>61</v>
      </c>
      <c r="C240" t="s">
        <v>21</v>
      </c>
      <c r="D240" t="s">
        <v>52</v>
      </c>
      <c r="E240" s="2">
        <v>45724</v>
      </c>
      <c r="F240" t="s">
        <v>41</v>
      </c>
      <c r="G240">
        <v>60</v>
      </c>
      <c r="H240">
        <v>3</v>
      </c>
      <c r="I240">
        <v>32.93</v>
      </c>
      <c r="J240">
        <v>15.7</v>
      </c>
      <c r="K240" t="s">
        <v>18</v>
      </c>
      <c r="L240">
        <v>10</v>
      </c>
      <c r="M240">
        <v>7</v>
      </c>
      <c r="N240" t="s">
        <v>25</v>
      </c>
      <c r="O240">
        <f t="shared" si="6"/>
        <v>228.63</v>
      </c>
      <c r="P240" t="str">
        <f t="shared" si="7"/>
        <v>March</v>
      </c>
    </row>
    <row r="241" spans="1:16" x14ac:dyDescent="0.25">
      <c r="A241" t="s">
        <v>273</v>
      </c>
      <c r="B241">
        <v>43</v>
      </c>
      <c r="C241" t="s">
        <v>15</v>
      </c>
      <c r="D241" t="s">
        <v>33</v>
      </c>
      <c r="E241" s="2">
        <v>45731</v>
      </c>
      <c r="F241" t="s">
        <v>29</v>
      </c>
      <c r="G241">
        <v>100</v>
      </c>
      <c r="H241">
        <v>3</v>
      </c>
      <c r="I241">
        <v>30.09</v>
      </c>
      <c r="J241">
        <v>14.83</v>
      </c>
      <c r="K241" t="s">
        <v>18</v>
      </c>
      <c r="L241">
        <v>9</v>
      </c>
      <c r="M241">
        <v>6</v>
      </c>
      <c r="N241" t="s">
        <v>19</v>
      </c>
      <c r="O241">
        <f t="shared" si="6"/>
        <v>344.91999999999996</v>
      </c>
      <c r="P241" t="str">
        <f t="shared" si="7"/>
        <v>March</v>
      </c>
    </row>
    <row r="242" spans="1:16" x14ac:dyDescent="0.25">
      <c r="A242" t="s">
        <v>274</v>
      </c>
      <c r="B242">
        <v>49</v>
      </c>
      <c r="C242" t="s">
        <v>15</v>
      </c>
      <c r="D242" t="s">
        <v>22</v>
      </c>
      <c r="E242" s="2">
        <v>45701</v>
      </c>
      <c r="F242" t="s">
        <v>17</v>
      </c>
      <c r="G242">
        <v>200</v>
      </c>
      <c r="H242">
        <v>1</v>
      </c>
      <c r="I242">
        <v>29.18</v>
      </c>
      <c r="J242">
        <v>20.329999999999998</v>
      </c>
      <c r="K242" t="s">
        <v>24</v>
      </c>
      <c r="L242">
        <v>8.1999999999999993</v>
      </c>
      <c r="M242">
        <v>8</v>
      </c>
      <c r="N242" t="s">
        <v>19</v>
      </c>
      <c r="O242">
        <f t="shared" si="6"/>
        <v>249.51</v>
      </c>
      <c r="P242" t="str">
        <f t="shared" si="7"/>
        <v>February</v>
      </c>
    </row>
    <row r="243" spans="1:16" x14ac:dyDescent="0.25">
      <c r="A243" t="s">
        <v>275</v>
      </c>
      <c r="B243">
        <v>23</v>
      </c>
      <c r="C243" t="s">
        <v>21</v>
      </c>
      <c r="D243" t="s">
        <v>33</v>
      </c>
      <c r="E243" s="2">
        <v>45706</v>
      </c>
      <c r="F243" t="s">
        <v>23</v>
      </c>
      <c r="G243">
        <v>150</v>
      </c>
      <c r="H243">
        <v>1</v>
      </c>
      <c r="I243">
        <v>76.11</v>
      </c>
      <c r="J243">
        <v>9.64</v>
      </c>
      <c r="K243" t="s">
        <v>18</v>
      </c>
      <c r="L243">
        <v>10</v>
      </c>
      <c r="M243">
        <v>10</v>
      </c>
      <c r="N243" t="s">
        <v>34</v>
      </c>
      <c r="O243">
        <f t="shared" si="6"/>
        <v>235.75</v>
      </c>
      <c r="P243" t="str">
        <f t="shared" si="7"/>
        <v>February</v>
      </c>
    </row>
    <row r="244" spans="1:16" x14ac:dyDescent="0.25">
      <c r="A244" t="s">
        <v>276</v>
      </c>
      <c r="B244">
        <v>49</v>
      </c>
      <c r="C244" t="s">
        <v>21</v>
      </c>
      <c r="D244" t="s">
        <v>27</v>
      </c>
      <c r="E244" s="2">
        <v>45746</v>
      </c>
      <c r="F244" t="s">
        <v>17</v>
      </c>
      <c r="G244">
        <v>200</v>
      </c>
      <c r="H244">
        <v>1</v>
      </c>
      <c r="I244">
        <v>56.34</v>
      </c>
      <c r="J244">
        <v>19.059999999999999</v>
      </c>
      <c r="K244" t="s">
        <v>18</v>
      </c>
      <c r="L244">
        <v>8.1999999999999993</v>
      </c>
      <c r="M244">
        <v>10</v>
      </c>
      <c r="N244" t="s">
        <v>19</v>
      </c>
      <c r="O244">
        <f t="shared" si="6"/>
        <v>275.40000000000003</v>
      </c>
      <c r="P244" t="str">
        <f t="shared" si="7"/>
        <v>March</v>
      </c>
    </row>
    <row r="245" spans="1:16" x14ac:dyDescent="0.25">
      <c r="A245" t="s">
        <v>277</v>
      </c>
      <c r="B245">
        <v>21</v>
      </c>
      <c r="C245" t="s">
        <v>15</v>
      </c>
      <c r="D245" t="s">
        <v>40</v>
      </c>
      <c r="E245" s="2">
        <v>45772</v>
      </c>
      <c r="F245" t="s">
        <v>17</v>
      </c>
      <c r="G245">
        <v>200</v>
      </c>
      <c r="H245">
        <v>2</v>
      </c>
      <c r="I245">
        <v>24.49</v>
      </c>
      <c r="J245">
        <v>1.6</v>
      </c>
      <c r="K245" t="s">
        <v>18</v>
      </c>
      <c r="L245">
        <v>8.6999999999999993</v>
      </c>
      <c r="M245">
        <v>6</v>
      </c>
      <c r="N245" t="s">
        <v>34</v>
      </c>
      <c r="O245">
        <f t="shared" si="6"/>
        <v>426.09000000000003</v>
      </c>
      <c r="P245" t="str">
        <f t="shared" si="7"/>
        <v>April</v>
      </c>
    </row>
    <row r="246" spans="1:16" x14ac:dyDescent="0.25">
      <c r="A246" t="s">
        <v>278</v>
      </c>
      <c r="B246">
        <v>28</v>
      </c>
      <c r="C246" t="s">
        <v>21</v>
      </c>
      <c r="D246" t="s">
        <v>33</v>
      </c>
      <c r="E246" s="2">
        <v>45670</v>
      </c>
      <c r="F246" t="s">
        <v>23</v>
      </c>
      <c r="G246">
        <v>150</v>
      </c>
      <c r="H246">
        <v>2</v>
      </c>
      <c r="I246">
        <v>6.26</v>
      </c>
      <c r="J246">
        <v>7.54</v>
      </c>
      <c r="K246" t="s">
        <v>24</v>
      </c>
      <c r="L246">
        <v>9.5</v>
      </c>
      <c r="M246">
        <v>9</v>
      </c>
      <c r="N246" t="s">
        <v>34</v>
      </c>
      <c r="O246">
        <f t="shared" si="6"/>
        <v>313.8</v>
      </c>
      <c r="P246" t="str">
        <f t="shared" si="7"/>
        <v>January</v>
      </c>
    </row>
    <row r="247" spans="1:16" x14ac:dyDescent="0.25">
      <c r="A247" t="s">
        <v>279</v>
      </c>
      <c r="B247">
        <v>34</v>
      </c>
      <c r="C247" t="s">
        <v>21</v>
      </c>
      <c r="D247" t="s">
        <v>33</v>
      </c>
      <c r="E247" s="2">
        <v>45815</v>
      </c>
      <c r="F247" t="s">
        <v>23</v>
      </c>
      <c r="G247">
        <v>150</v>
      </c>
      <c r="H247">
        <v>2</v>
      </c>
      <c r="I247">
        <v>38.44</v>
      </c>
      <c r="J247">
        <v>25.54</v>
      </c>
      <c r="K247" t="s">
        <v>18</v>
      </c>
      <c r="L247">
        <v>7.4</v>
      </c>
      <c r="M247">
        <v>8</v>
      </c>
      <c r="N247" t="s">
        <v>30</v>
      </c>
      <c r="O247">
        <f t="shared" si="6"/>
        <v>363.98</v>
      </c>
      <c r="P247" t="str">
        <f t="shared" si="7"/>
        <v>June</v>
      </c>
    </row>
    <row r="248" spans="1:16" x14ac:dyDescent="0.25">
      <c r="A248" t="s">
        <v>280</v>
      </c>
      <c r="B248">
        <v>55</v>
      </c>
      <c r="C248" t="s">
        <v>21</v>
      </c>
      <c r="D248" t="s">
        <v>27</v>
      </c>
      <c r="E248" s="2">
        <v>45884</v>
      </c>
      <c r="F248" t="s">
        <v>41</v>
      </c>
      <c r="G248">
        <v>60</v>
      </c>
      <c r="H248">
        <v>1</v>
      </c>
      <c r="I248">
        <v>79.97</v>
      </c>
      <c r="J248">
        <v>13.12</v>
      </c>
      <c r="K248" t="s">
        <v>24</v>
      </c>
      <c r="L248">
        <v>4.9000000000000004</v>
      </c>
      <c r="M248">
        <v>8</v>
      </c>
      <c r="N248" t="s">
        <v>19</v>
      </c>
      <c r="O248">
        <f t="shared" si="6"/>
        <v>153.09</v>
      </c>
      <c r="P248" t="str">
        <f t="shared" si="7"/>
        <v>August</v>
      </c>
    </row>
    <row r="249" spans="1:16" x14ac:dyDescent="0.25">
      <c r="A249" t="s">
        <v>281</v>
      </c>
      <c r="B249">
        <v>41</v>
      </c>
      <c r="C249" t="s">
        <v>21</v>
      </c>
      <c r="D249" t="s">
        <v>36</v>
      </c>
      <c r="E249" s="2">
        <v>45694</v>
      </c>
      <c r="F249" t="s">
        <v>41</v>
      </c>
      <c r="G249">
        <v>60</v>
      </c>
      <c r="H249">
        <v>4</v>
      </c>
      <c r="I249">
        <v>16.55</v>
      </c>
      <c r="J249">
        <v>12.69</v>
      </c>
      <c r="K249" t="s">
        <v>24</v>
      </c>
      <c r="L249">
        <v>7.3</v>
      </c>
      <c r="M249">
        <v>7</v>
      </c>
      <c r="N249" t="s">
        <v>19</v>
      </c>
      <c r="O249">
        <f t="shared" si="6"/>
        <v>269.24</v>
      </c>
      <c r="P249" t="str">
        <f t="shared" si="7"/>
        <v>February</v>
      </c>
    </row>
    <row r="250" spans="1:16" x14ac:dyDescent="0.25">
      <c r="A250" t="s">
        <v>282</v>
      </c>
      <c r="B250">
        <v>22</v>
      </c>
      <c r="C250" t="s">
        <v>38</v>
      </c>
      <c r="D250" t="s">
        <v>27</v>
      </c>
      <c r="E250" s="2">
        <v>45664</v>
      </c>
      <c r="F250" t="s">
        <v>23</v>
      </c>
      <c r="G250">
        <v>150</v>
      </c>
      <c r="H250">
        <v>3</v>
      </c>
      <c r="I250">
        <v>39.21</v>
      </c>
      <c r="J250">
        <v>32.630000000000003</v>
      </c>
      <c r="K250" t="s">
        <v>18</v>
      </c>
      <c r="L250">
        <v>9.1999999999999993</v>
      </c>
      <c r="M250">
        <v>5</v>
      </c>
      <c r="N250" t="s">
        <v>34</v>
      </c>
      <c r="O250">
        <f t="shared" si="6"/>
        <v>521.84</v>
      </c>
      <c r="P250" t="str">
        <f t="shared" si="7"/>
        <v>January</v>
      </c>
    </row>
    <row r="251" spans="1:16" x14ac:dyDescent="0.25">
      <c r="A251" t="s">
        <v>283</v>
      </c>
      <c r="B251">
        <v>69</v>
      </c>
      <c r="C251" t="s">
        <v>21</v>
      </c>
      <c r="D251" t="s">
        <v>22</v>
      </c>
      <c r="E251" s="2">
        <v>45808</v>
      </c>
      <c r="F251" t="s">
        <v>29</v>
      </c>
      <c r="G251">
        <v>100</v>
      </c>
      <c r="H251">
        <v>1</v>
      </c>
      <c r="I251">
        <v>114.5</v>
      </c>
      <c r="J251">
        <v>39.79</v>
      </c>
      <c r="K251" t="s">
        <v>18</v>
      </c>
      <c r="L251">
        <v>9.1</v>
      </c>
      <c r="M251">
        <v>9</v>
      </c>
      <c r="N251" t="s">
        <v>25</v>
      </c>
      <c r="O251">
        <f t="shared" si="6"/>
        <v>254.29</v>
      </c>
      <c r="P251" t="str">
        <f t="shared" si="7"/>
        <v>May</v>
      </c>
    </row>
    <row r="252" spans="1:16" x14ac:dyDescent="0.25">
      <c r="A252" t="s">
        <v>284</v>
      </c>
      <c r="B252">
        <v>51</v>
      </c>
      <c r="C252" t="s">
        <v>21</v>
      </c>
      <c r="D252" t="s">
        <v>27</v>
      </c>
      <c r="E252" s="2">
        <v>45878</v>
      </c>
      <c r="F252" t="s">
        <v>41</v>
      </c>
      <c r="G252">
        <v>60</v>
      </c>
      <c r="H252">
        <v>2</v>
      </c>
      <c r="I252">
        <v>2.0499999999999998</v>
      </c>
      <c r="J252">
        <v>28.88</v>
      </c>
      <c r="K252" t="s">
        <v>24</v>
      </c>
      <c r="L252">
        <v>10</v>
      </c>
      <c r="M252">
        <v>6</v>
      </c>
      <c r="N252" t="s">
        <v>19</v>
      </c>
      <c r="O252">
        <f t="shared" si="6"/>
        <v>150.93</v>
      </c>
      <c r="P252" t="str">
        <f t="shared" si="7"/>
        <v>August</v>
      </c>
    </row>
    <row r="253" spans="1:16" x14ac:dyDescent="0.25">
      <c r="A253" t="s">
        <v>285</v>
      </c>
      <c r="B253">
        <v>23</v>
      </c>
      <c r="C253" t="s">
        <v>21</v>
      </c>
      <c r="D253" t="s">
        <v>27</v>
      </c>
      <c r="E253" s="2">
        <v>45839</v>
      </c>
      <c r="F253" t="s">
        <v>23</v>
      </c>
      <c r="G253">
        <v>150</v>
      </c>
      <c r="H253">
        <v>2</v>
      </c>
      <c r="I253">
        <v>35.700000000000003</v>
      </c>
      <c r="J253">
        <v>15.52</v>
      </c>
      <c r="K253" t="s">
        <v>18</v>
      </c>
      <c r="L253">
        <v>7.4</v>
      </c>
      <c r="M253">
        <v>7</v>
      </c>
      <c r="N253" t="s">
        <v>34</v>
      </c>
      <c r="O253">
        <f t="shared" si="6"/>
        <v>351.21999999999997</v>
      </c>
      <c r="P253" t="str">
        <f t="shared" si="7"/>
        <v>July</v>
      </c>
    </row>
    <row r="254" spans="1:16" x14ac:dyDescent="0.25">
      <c r="A254" t="s">
        <v>286</v>
      </c>
      <c r="B254">
        <v>39</v>
      </c>
      <c r="C254" t="s">
        <v>15</v>
      </c>
      <c r="D254" t="s">
        <v>40</v>
      </c>
      <c r="E254" s="2">
        <v>45907</v>
      </c>
      <c r="F254" t="s">
        <v>23</v>
      </c>
      <c r="G254">
        <v>150</v>
      </c>
      <c r="H254">
        <v>1</v>
      </c>
      <c r="I254">
        <v>33.5</v>
      </c>
      <c r="J254">
        <v>12.1</v>
      </c>
      <c r="K254" t="s">
        <v>24</v>
      </c>
      <c r="L254">
        <v>10</v>
      </c>
      <c r="M254">
        <v>9</v>
      </c>
      <c r="N254" t="s">
        <v>30</v>
      </c>
      <c r="O254">
        <f t="shared" si="6"/>
        <v>195.6</v>
      </c>
      <c r="P254" t="str">
        <f t="shared" si="7"/>
        <v>September</v>
      </c>
    </row>
    <row r="255" spans="1:16" x14ac:dyDescent="0.25">
      <c r="A255" t="s">
        <v>287</v>
      </c>
      <c r="B255">
        <v>28</v>
      </c>
      <c r="C255" t="s">
        <v>15</v>
      </c>
      <c r="D255" t="s">
        <v>27</v>
      </c>
      <c r="E255" s="2">
        <v>45728</v>
      </c>
      <c r="F255" t="s">
        <v>41</v>
      </c>
      <c r="G255">
        <v>60</v>
      </c>
      <c r="H255">
        <v>1</v>
      </c>
      <c r="I255">
        <v>12.78</v>
      </c>
      <c r="J255">
        <v>9.9700000000000006</v>
      </c>
      <c r="K255" t="s">
        <v>18</v>
      </c>
      <c r="L255">
        <v>8.3000000000000007</v>
      </c>
      <c r="M255">
        <v>5</v>
      </c>
      <c r="N255" t="s">
        <v>34</v>
      </c>
      <c r="O255">
        <f t="shared" si="6"/>
        <v>82.75</v>
      </c>
      <c r="P255" t="str">
        <f t="shared" si="7"/>
        <v>March</v>
      </c>
    </row>
    <row r="256" spans="1:16" x14ac:dyDescent="0.25">
      <c r="A256" t="s">
        <v>288</v>
      </c>
      <c r="B256">
        <v>65</v>
      </c>
      <c r="C256" t="s">
        <v>21</v>
      </c>
      <c r="D256" t="s">
        <v>33</v>
      </c>
      <c r="E256" s="2">
        <v>45729</v>
      </c>
      <c r="F256" t="s">
        <v>17</v>
      </c>
      <c r="G256">
        <v>200</v>
      </c>
      <c r="H256">
        <v>2</v>
      </c>
      <c r="I256">
        <v>14.66</v>
      </c>
      <c r="J256">
        <v>20.22</v>
      </c>
      <c r="K256" t="s">
        <v>18</v>
      </c>
      <c r="L256">
        <v>8.9</v>
      </c>
      <c r="M256">
        <v>6</v>
      </c>
      <c r="N256" t="s">
        <v>25</v>
      </c>
      <c r="O256">
        <f t="shared" si="6"/>
        <v>434.88</v>
      </c>
      <c r="P256" t="str">
        <f t="shared" si="7"/>
        <v>March</v>
      </c>
    </row>
    <row r="257" spans="1:16" x14ac:dyDescent="0.25">
      <c r="A257" t="s">
        <v>289</v>
      </c>
      <c r="B257">
        <v>33</v>
      </c>
      <c r="C257" t="s">
        <v>21</v>
      </c>
      <c r="D257" t="s">
        <v>40</v>
      </c>
      <c r="E257" s="2">
        <v>45707</v>
      </c>
      <c r="F257" t="s">
        <v>29</v>
      </c>
      <c r="G257">
        <v>100</v>
      </c>
      <c r="H257">
        <v>4</v>
      </c>
      <c r="I257">
        <v>90.74</v>
      </c>
      <c r="J257">
        <v>7.01</v>
      </c>
      <c r="K257" t="s">
        <v>24</v>
      </c>
      <c r="L257">
        <v>9.4</v>
      </c>
      <c r="M257">
        <v>10</v>
      </c>
      <c r="N257" t="s">
        <v>30</v>
      </c>
      <c r="O257">
        <f t="shared" si="6"/>
        <v>497.75</v>
      </c>
      <c r="P257" t="str">
        <f t="shared" si="7"/>
        <v>February</v>
      </c>
    </row>
    <row r="258" spans="1:16" x14ac:dyDescent="0.25">
      <c r="A258" t="s">
        <v>290</v>
      </c>
      <c r="B258">
        <v>50</v>
      </c>
      <c r="C258" t="s">
        <v>21</v>
      </c>
      <c r="D258" t="s">
        <v>16</v>
      </c>
      <c r="E258" s="2">
        <v>45856</v>
      </c>
      <c r="F258" t="s">
        <v>29</v>
      </c>
      <c r="G258">
        <v>100</v>
      </c>
      <c r="H258">
        <v>2</v>
      </c>
      <c r="I258">
        <v>133.54</v>
      </c>
      <c r="J258">
        <v>30.81</v>
      </c>
      <c r="K258" t="s">
        <v>18</v>
      </c>
      <c r="L258">
        <v>5.9</v>
      </c>
      <c r="M258">
        <v>8</v>
      </c>
      <c r="N258" t="s">
        <v>19</v>
      </c>
      <c r="O258">
        <f t="shared" si="6"/>
        <v>364.34999999999997</v>
      </c>
      <c r="P258" t="str">
        <f t="shared" si="7"/>
        <v>July</v>
      </c>
    </row>
    <row r="259" spans="1:16" x14ac:dyDescent="0.25">
      <c r="A259" t="s">
        <v>291</v>
      </c>
      <c r="B259">
        <v>26</v>
      </c>
      <c r="C259" t="s">
        <v>15</v>
      </c>
      <c r="D259" t="s">
        <v>36</v>
      </c>
      <c r="E259" s="2">
        <v>45898</v>
      </c>
      <c r="F259" t="s">
        <v>23</v>
      </c>
      <c r="G259">
        <v>150</v>
      </c>
      <c r="H259">
        <v>2</v>
      </c>
      <c r="I259">
        <v>27.35</v>
      </c>
      <c r="J259">
        <v>23.93</v>
      </c>
      <c r="K259" t="s">
        <v>18</v>
      </c>
      <c r="L259">
        <v>6.5</v>
      </c>
      <c r="M259">
        <v>7</v>
      </c>
      <c r="N259" t="s">
        <v>34</v>
      </c>
      <c r="O259">
        <f t="shared" ref="O259:O322" si="8">(G259*H259)+I259+J259</f>
        <v>351.28000000000003</v>
      </c>
      <c r="P259" t="str">
        <f t="shared" ref="P259:P322" si="9">TEXT(E259, "mmmm")</f>
        <v>August</v>
      </c>
    </row>
    <row r="260" spans="1:16" x14ac:dyDescent="0.25">
      <c r="A260" t="s">
        <v>292</v>
      </c>
      <c r="B260">
        <v>23</v>
      </c>
      <c r="C260" t="s">
        <v>21</v>
      </c>
      <c r="D260" t="s">
        <v>40</v>
      </c>
      <c r="E260" s="2">
        <v>45722</v>
      </c>
      <c r="F260" t="s">
        <v>23</v>
      </c>
      <c r="G260">
        <v>150</v>
      </c>
      <c r="H260">
        <v>1</v>
      </c>
      <c r="I260">
        <v>100.08</v>
      </c>
      <c r="J260">
        <v>12.68</v>
      </c>
      <c r="K260" t="s">
        <v>24</v>
      </c>
      <c r="L260">
        <v>6.4</v>
      </c>
      <c r="M260">
        <v>8</v>
      </c>
      <c r="N260" t="s">
        <v>34</v>
      </c>
      <c r="O260">
        <f t="shared" si="8"/>
        <v>262.76</v>
      </c>
      <c r="P260" t="str">
        <f t="shared" si="9"/>
        <v>March</v>
      </c>
    </row>
    <row r="261" spans="1:16" x14ac:dyDescent="0.25">
      <c r="A261" t="s">
        <v>293</v>
      </c>
      <c r="B261">
        <v>33</v>
      </c>
      <c r="C261" t="s">
        <v>15</v>
      </c>
      <c r="D261" t="s">
        <v>22</v>
      </c>
      <c r="E261" s="2">
        <v>45821</v>
      </c>
      <c r="F261" t="s">
        <v>41</v>
      </c>
      <c r="G261">
        <v>60</v>
      </c>
      <c r="H261">
        <v>4</v>
      </c>
      <c r="I261">
        <v>54.65</v>
      </c>
      <c r="J261">
        <v>12.54</v>
      </c>
      <c r="K261" t="s">
        <v>18</v>
      </c>
      <c r="L261">
        <v>9.6</v>
      </c>
      <c r="M261">
        <v>9</v>
      </c>
      <c r="N261" t="s">
        <v>30</v>
      </c>
      <c r="O261">
        <f t="shared" si="8"/>
        <v>307.19</v>
      </c>
      <c r="P261" t="str">
        <f t="shared" si="9"/>
        <v>June</v>
      </c>
    </row>
    <row r="262" spans="1:16" x14ac:dyDescent="0.25">
      <c r="A262" t="s">
        <v>294</v>
      </c>
      <c r="B262">
        <v>46</v>
      </c>
      <c r="C262" t="s">
        <v>21</v>
      </c>
      <c r="D262" t="s">
        <v>16</v>
      </c>
      <c r="E262" s="2">
        <v>45849</v>
      </c>
      <c r="F262" t="s">
        <v>17</v>
      </c>
      <c r="G262">
        <v>200</v>
      </c>
      <c r="H262">
        <v>2</v>
      </c>
      <c r="I262">
        <v>46.19</v>
      </c>
      <c r="J262">
        <v>12.47</v>
      </c>
      <c r="K262" t="s">
        <v>18</v>
      </c>
      <c r="L262">
        <v>7.5</v>
      </c>
      <c r="M262">
        <v>10</v>
      </c>
      <c r="N262" t="s">
        <v>19</v>
      </c>
      <c r="O262">
        <f t="shared" si="8"/>
        <v>458.66</v>
      </c>
      <c r="P262" t="str">
        <f t="shared" si="9"/>
        <v>July</v>
      </c>
    </row>
    <row r="263" spans="1:16" x14ac:dyDescent="0.25">
      <c r="A263" t="s">
        <v>295</v>
      </c>
      <c r="B263">
        <v>20</v>
      </c>
      <c r="C263" t="s">
        <v>21</v>
      </c>
      <c r="D263" t="s">
        <v>40</v>
      </c>
      <c r="E263" s="2">
        <v>45705</v>
      </c>
      <c r="F263" t="s">
        <v>23</v>
      </c>
      <c r="G263">
        <v>150</v>
      </c>
      <c r="H263">
        <v>2</v>
      </c>
      <c r="I263">
        <v>136.94</v>
      </c>
      <c r="J263">
        <v>13.7</v>
      </c>
      <c r="K263" t="s">
        <v>18</v>
      </c>
      <c r="L263">
        <v>10</v>
      </c>
      <c r="M263">
        <v>6</v>
      </c>
      <c r="N263" t="s">
        <v>34</v>
      </c>
      <c r="O263">
        <f t="shared" si="8"/>
        <v>450.64</v>
      </c>
      <c r="P263" t="str">
        <f t="shared" si="9"/>
        <v>February</v>
      </c>
    </row>
    <row r="264" spans="1:16" x14ac:dyDescent="0.25">
      <c r="A264" t="s">
        <v>296</v>
      </c>
      <c r="B264">
        <v>37</v>
      </c>
      <c r="C264" t="s">
        <v>21</v>
      </c>
      <c r="D264" t="s">
        <v>40</v>
      </c>
      <c r="E264" s="2">
        <v>45698</v>
      </c>
      <c r="F264" t="s">
        <v>41</v>
      </c>
      <c r="G264">
        <v>60</v>
      </c>
      <c r="H264">
        <v>3</v>
      </c>
      <c r="I264">
        <v>26.24</v>
      </c>
      <c r="J264">
        <v>17.7</v>
      </c>
      <c r="K264" t="s">
        <v>24</v>
      </c>
      <c r="L264">
        <v>8</v>
      </c>
      <c r="M264">
        <v>7</v>
      </c>
      <c r="N264" t="s">
        <v>30</v>
      </c>
      <c r="O264">
        <f t="shared" si="8"/>
        <v>223.94</v>
      </c>
      <c r="P264" t="str">
        <f t="shared" si="9"/>
        <v>February</v>
      </c>
    </row>
    <row r="265" spans="1:16" x14ac:dyDescent="0.25">
      <c r="A265" t="s">
        <v>297</v>
      </c>
      <c r="B265">
        <v>53</v>
      </c>
      <c r="C265" t="s">
        <v>21</v>
      </c>
      <c r="D265" t="s">
        <v>36</v>
      </c>
      <c r="E265" s="2">
        <v>45717</v>
      </c>
      <c r="F265" t="s">
        <v>29</v>
      </c>
      <c r="G265">
        <v>100</v>
      </c>
      <c r="H265">
        <v>1</v>
      </c>
      <c r="I265">
        <v>31.87</v>
      </c>
      <c r="J265">
        <v>18.920000000000002</v>
      </c>
      <c r="K265" t="s">
        <v>24</v>
      </c>
      <c r="L265">
        <v>5.8</v>
      </c>
      <c r="M265">
        <v>9</v>
      </c>
      <c r="N265" t="s">
        <v>19</v>
      </c>
      <c r="O265">
        <f t="shared" si="8"/>
        <v>150.79000000000002</v>
      </c>
      <c r="P265" t="str">
        <f t="shared" si="9"/>
        <v>March</v>
      </c>
    </row>
    <row r="266" spans="1:16" x14ac:dyDescent="0.25">
      <c r="A266" t="s">
        <v>298</v>
      </c>
      <c r="B266">
        <v>36</v>
      </c>
      <c r="C266" t="s">
        <v>21</v>
      </c>
      <c r="D266" t="s">
        <v>33</v>
      </c>
      <c r="E266" s="2">
        <v>45704</v>
      </c>
      <c r="F266" t="s">
        <v>17</v>
      </c>
      <c r="G266">
        <v>200</v>
      </c>
      <c r="H266">
        <v>3</v>
      </c>
      <c r="I266">
        <v>18.77</v>
      </c>
      <c r="J266">
        <v>45.06</v>
      </c>
      <c r="K266" t="s">
        <v>18</v>
      </c>
      <c r="L266">
        <v>7</v>
      </c>
      <c r="M266">
        <v>9</v>
      </c>
      <c r="N266" t="s">
        <v>30</v>
      </c>
      <c r="O266">
        <f t="shared" si="8"/>
        <v>663.82999999999993</v>
      </c>
      <c r="P266" t="str">
        <f t="shared" si="9"/>
        <v>February</v>
      </c>
    </row>
    <row r="267" spans="1:16" x14ac:dyDescent="0.25">
      <c r="A267" t="s">
        <v>299</v>
      </c>
      <c r="B267">
        <v>43</v>
      </c>
      <c r="C267" t="s">
        <v>15</v>
      </c>
      <c r="D267" t="s">
        <v>22</v>
      </c>
      <c r="E267" s="2">
        <v>45688</v>
      </c>
      <c r="F267" t="s">
        <v>41</v>
      </c>
      <c r="G267">
        <v>60</v>
      </c>
      <c r="H267">
        <v>3</v>
      </c>
      <c r="I267">
        <v>76.459999999999994</v>
      </c>
      <c r="J267">
        <v>17.68</v>
      </c>
      <c r="K267" t="s">
        <v>24</v>
      </c>
      <c r="L267">
        <v>8.1999999999999993</v>
      </c>
      <c r="M267">
        <v>6</v>
      </c>
      <c r="N267" t="s">
        <v>19</v>
      </c>
      <c r="O267">
        <f t="shared" si="8"/>
        <v>274.14</v>
      </c>
      <c r="P267" t="str">
        <f t="shared" si="9"/>
        <v>January</v>
      </c>
    </row>
    <row r="268" spans="1:16" x14ac:dyDescent="0.25">
      <c r="A268" t="s">
        <v>300</v>
      </c>
      <c r="B268">
        <v>20</v>
      </c>
      <c r="C268" t="s">
        <v>21</v>
      </c>
      <c r="D268" t="s">
        <v>52</v>
      </c>
      <c r="E268" s="2">
        <v>45661</v>
      </c>
      <c r="F268" t="s">
        <v>23</v>
      </c>
      <c r="G268">
        <v>150</v>
      </c>
      <c r="H268">
        <v>2</v>
      </c>
      <c r="I268">
        <v>134.76</v>
      </c>
      <c r="J268">
        <v>11.53</v>
      </c>
      <c r="K268" t="s">
        <v>24</v>
      </c>
      <c r="L268">
        <v>8.8000000000000007</v>
      </c>
      <c r="M268">
        <v>7</v>
      </c>
      <c r="N268" t="s">
        <v>34</v>
      </c>
      <c r="O268">
        <f t="shared" si="8"/>
        <v>446.28999999999996</v>
      </c>
      <c r="P268" t="str">
        <f t="shared" si="9"/>
        <v>January</v>
      </c>
    </row>
    <row r="269" spans="1:16" x14ac:dyDescent="0.25">
      <c r="A269" t="s">
        <v>301</v>
      </c>
      <c r="B269">
        <v>36</v>
      </c>
      <c r="C269" t="s">
        <v>15</v>
      </c>
      <c r="D269" t="s">
        <v>52</v>
      </c>
      <c r="E269" s="2">
        <v>45730</v>
      </c>
      <c r="F269" t="s">
        <v>41</v>
      </c>
      <c r="G269">
        <v>60</v>
      </c>
      <c r="H269">
        <v>1</v>
      </c>
      <c r="I269">
        <v>65.180000000000007</v>
      </c>
      <c r="J269">
        <v>40.869999999999997</v>
      </c>
      <c r="K269" t="s">
        <v>18</v>
      </c>
      <c r="L269">
        <v>6.5</v>
      </c>
      <c r="M269">
        <v>8</v>
      </c>
      <c r="N269" t="s">
        <v>30</v>
      </c>
      <c r="O269">
        <f t="shared" si="8"/>
        <v>166.05</v>
      </c>
      <c r="P269" t="str">
        <f t="shared" si="9"/>
        <v>March</v>
      </c>
    </row>
    <row r="270" spans="1:16" x14ac:dyDescent="0.25">
      <c r="A270" t="s">
        <v>302</v>
      </c>
      <c r="B270">
        <v>37</v>
      </c>
      <c r="C270" t="s">
        <v>21</v>
      </c>
      <c r="D270" t="s">
        <v>40</v>
      </c>
      <c r="E270" s="2">
        <v>45736</v>
      </c>
      <c r="F270" t="s">
        <v>41</v>
      </c>
      <c r="G270">
        <v>60</v>
      </c>
      <c r="H270">
        <v>4</v>
      </c>
      <c r="I270">
        <v>137.36850000000001</v>
      </c>
      <c r="J270">
        <v>15.66</v>
      </c>
      <c r="K270" t="s">
        <v>18</v>
      </c>
      <c r="L270">
        <v>8.9</v>
      </c>
      <c r="M270">
        <v>8</v>
      </c>
      <c r="N270" t="s">
        <v>30</v>
      </c>
      <c r="O270">
        <f t="shared" si="8"/>
        <v>393.02850000000007</v>
      </c>
      <c r="P270" t="str">
        <f t="shared" si="9"/>
        <v>March</v>
      </c>
    </row>
    <row r="271" spans="1:16" x14ac:dyDescent="0.25">
      <c r="A271" t="s">
        <v>303</v>
      </c>
      <c r="B271">
        <v>49</v>
      </c>
      <c r="C271" t="s">
        <v>21</v>
      </c>
      <c r="D271" t="s">
        <v>27</v>
      </c>
      <c r="E271" s="2">
        <v>45855</v>
      </c>
      <c r="F271" t="s">
        <v>29</v>
      </c>
      <c r="G271">
        <v>100</v>
      </c>
      <c r="H271">
        <v>2</v>
      </c>
      <c r="I271">
        <v>105.26</v>
      </c>
      <c r="J271">
        <v>0.93</v>
      </c>
      <c r="K271" t="s">
        <v>18</v>
      </c>
      <c r="L271">
        <v>9.3000000000000007</v>
      </c>
      <c r="M271">
        <v>8</v>
      </c>
      <c r="N271" t="s">
        <v>19</v>
      </c>
      <c r="O271">
        <f t="shared" si="8"/>
        <v>306.19</v>
      </c>
      <c r="P271" t="str">
        <f t="shared" si="9"/>
        <v>July</v>
      </c>
    </row>
    <row r="272" spans="1:16" x14ac:dyDescent="0.25">
      <c r="A272" t="s">
        <v>304</v>
      </c>
      <c r="B272">
        <v>24</v>
      </c>
      <c r="C272" t="s">
        <v>21</v>
      </c>
      <c r="D272" t="s">
        <v>22</v>
      </c>
      <c r="E272" s="2">
        <v>45791</v>
      </c>
      <c r="F272" t="s">
        <v>29</v>
      </c>
      <c r="G272">
        <v>100</v>
      </c>
      <c r="H272">
        <v>4</v>
      </c>
      <c r="I272">
        <v>118.49</v>
      </c>
      <c r="J272">
        <v>46.159499999999987</v>
      </c>
      <c r="K272" t="s">
        <v>18</v>
      </c>
      <c r="L272">
        <v>7</v>
      </c>
      <c r="M272">
        <v>6</v>
      </c>
      <c r="N272" t="s">
        <v>34</v>
      </c>
      <c r="O272">
        <f t="shared" si="8"/>
        <v>564.64949999999999</v>
      </c>
      <c r="P272" t="str">
        <f t="shared" si="9"/>
        <v>May</v>
      </c>
    </row>
    <row r="273" spans="1:16" x14ac:dyDescent="0.25">
      <c r="A273" t="s">
        <v>305</v>
      </c>
      <c r="B273">
        <v>69</v>
      </c>
      <c r="C273" t="s">
        <v>21</v>
      </c>
      <c r="D273" t="s">
        <v>16</v>
      </c>
      <c r="E273" s="2">
        <v>45852</v>
      </c>
      <c r="F273" t="s">
        <v>41</v>
      </c>
      <c r="G273">
        <v>60</v>
      </c>
      <c r="H273">
        <v>4</v>
      </c>
      <c r="I273">
        <v>65.900000000000006</v>
      </c>
      <c r="J273">
        <v>7.56</v>
      </c>
      <c r="K273" t="s">
        <v>24</v>
      </c>
      <c r="L273">
        <v>10</v>
      </c>
      <c r="M273">
        <v>8</v>
      </c>
      <c r="N273" t="s">
        <v>25</v>
      </c>
      <c r="O273">
        <f t="shared" si="8"/>
        <v>313.45999999999998</v>
      </c>
      <c r="P273" t="str">
        <f t="shared" si="9"/>
        <v>July</v>
      </c>
    </row>
    <row r="274" spans="1:16" x14ac:dyDescent="0.25">
      <c r="A274" t="s">
        <v>306</v>
      </c>
      <c r="B274">
        <v>58</v>
      </c>
      <c r="C274" t="s">
        <v>21</v>
      </c>
      <c r="D274" t="s">
        <v>27</v>
      </c>
      <c r="E274" s="2">
        <v>45842</v>
      </c>
      <c r="F274" t="s">
        <v>17</v>
      </c>
      <c r="G274">
        <v>200</v>
      </c>
      <c r="H274">
        <v>1</v>
      </c>
      <c r="I274">
        <v>27.27</v>
      </c>
      <c r="J274">
        <v>22.29</v>
      </c>
      <c r="K274" t="s">
        <v>24</v>
      </c>
      <c r="L274">
        <v>7.2</v>
      </c>
      <c r="M274">
        <v>7</v>
      </c>
      <c r="N274" t="s">
        <v>19</v>
      </c>
      <c r="O274">
        <f t="shared" si="8"/>
        <v>249.56</v>
      </c>
      <c r="P274" t="str">
        <f t="shared" si="9"/>
        <v>July</v>
      </c>
    </row>
    <row r="275" spans="1:16" x14ac:dyDescent="0.25">
      <c r="A275" t="s">
        <v>307</v>
      </c>
      <c r="B275">
        <v>50</v>
      </c>
      <c r="C275" t="s">
        <v>38</v>
      </c>
      <c r="D275" t="s">
        <v>27</v>
      </c>
      <c r="E275" s="2">
        <v>45844</v>
      </c>
      <c r="F275" t="s">
        <v>41</v>
      </c>
      <c r="G275">
        <v>60</v>
      </c>
      <c r="H275">
        <v>3</v>
      </c>
      <c r="I275">
        <v>51.68</v>
      </c>
      <c r="J275">
        <v>14.55</v>
      </c>
      <c r="K275" t="s">
        <v>18</v>
      </c>
      <c r="L275">
        <v>6.5</v>
      </c>
      <c r="M275">
        <v>6</v>
      </c>
      <c r="N275" t="s">
        <v>19</v>
      </c>
      <c r="O275">
        <f t="shared" si="8"/>
        <v>246.23000000000002</v>
      </c>
      <c r="P275" t="str">
        <f t="shared" si="9"/>
        <v>July</v>
      </c>
    </row>
    <row r="276" spans="1:16" x14ac:dyDescent="0.25">
      <c r="A276" t="s">
        <v>308</v>
      </c>
      <c r="B276">
        <v>57</v>
      </c>
      <c r="C276" t="s">
        <v>15</v>
      </c>
      <c r="D276" t="s">
        <v>22</v>
      </c>
      <c r="E276" s="2">
        <v>45736</v>
      </c>
      <c r="F276" t="s">
        <v>23</v>
      </c>
      <c r="G276">
        <v>150</v>
      </c>
      <c r="H276">
        <v>1</v>
      </c>
      <c r="I276">
        <v>122.25</v>
      </c>
      <c r="J276">
        <v>16.29</v>
      </c>
      <c r="K276" t="s">
        <v>18</v>
      </c>
      <c r="L276">
        <v>5.7</v>
      </c>
      <c r="M276">
        <v>8</v>
      </c>
      <c r="N276" t="s">
        <v>19</v>
      </c>
      <c r="O276">
        <f t="shared" si="8"/>
        <v>288.54000000000002</v>
      </c>
      <c r="P276" t="str">
        <f t="shared" si="9"/>
        <v>March</v>
      </c>
    </row>
    <row r="277" spans="1:16" x14ac:dyDescent="0.25">
      <c r="A277" t="s">
        <v>309</v>
      </c>
      <c r="B277">
        <v>56</v>
      </c>
      <c r="C277" t="s">
        <v>15</v>
      </c>
      <c r="D277" t="s">
        <v>33</v>
      </c>
      <c r="E277" s="2">
        <v>45817</v>
      </c>
      <c r="F277" t="s">
        <v>23</v>
      </c>
      <c r="G277">
        <v>150</v>
      </c>
      <c r="H277">
        <v>4</v>
      </c>
      <c r="I277">
        <v>40.47</v>
      </c>
      <c r="J277">
        <v>8.59</v>
      </c>
      <c r="K277" t="s">
        <v>18</v>
      </c>
      <c r="L277">
        <v>9.8000000000000007</v>
      </c>
      <c r="M277">
        <v>8</v>
      </c>
      <c r="N277" t="s">
        <v>19</v>
      </c>
      <c r="O277">
        <f t="shared" si="8"/>
        <v>649.06000000000006</v>
      </c>
      <c r="P277" t="str">
        <f t="shared" si="9"/>
        <v>June</v>
      </c>
    </row>
    <row r="278" spans="1:16" x14ac:dyDescent="0.25">
      <c r="A278" t="s">
        <v>310</v>
      </c>
      <c r="B278">
        <v>35</v>
      </c>
      <c r="C278" t="s">
        <v>15</v>
      </c>
      <c r="D278" t="s">
        <v>40</v>
      </c>
      <c r="E278" s="2">
        <v>45904</v>
      </c>
      <c r="F278" t="s">
        <v>23</v>
      </c>
      <c r="G278">
        <v>150</v>
      </c>
      <c r="H278">
        <v>2</v>
      </c>
      <c r="I278">
        <v>99.75</v>
      </c>
      <c r="J278">
        <v>6.86</v>
      </c>
      <c r="K278" t="s">
        <v>18</v>
      </c>
      <c r="L278">
        <v>8</v>
      </c>
      <c r="M278">
        <v>9</v>
      </c>
      <c r="N278" t="s">
        <v>30</v>
      </c>
      <c r="O278">
        <f t="shared" si="8"/>
        <v>406.61</v>
      </c>
      <c r="P278" t="str">
        <f t="shared" si="9"/>
        <v>September</v>
      </c>
    </row>
    <row r="279" spans="1:16" x14ac:dyDescent="0.25">
      <c r="A279" t="s">
        <v>311</v>
      </c>
      <c r="B279">
        <v>57</v>
      </c>
      <c r="C279" t="s">
        <v>15</v>
      </c>
      <c r="D279" t="s">
        <v>40</v>
      </c>
      <c r="E279" s="2">
        <v>45903</v>
      </c>
      <c r="F279" t="s">
        <v>41</v>
      </c>
      <c r="G279">
        <v>60</v>
      </c>
      <c r="H279">
        <v>4</v>
      </c>
      <c r="I279">
        <v>23.12</v>
      </c>
      <c r="J279">
        <v>31.87</v>
      </c>
      <c r="K279" t="s">
        <v>18</v>
      </c>
      <c r="L279">
        <v>7.3</v>
      </c>
      <c r="M279">
        <v>7</v>
      </c>
      <c r="N279" t="s">
        <v>19</v>
      </c>
      <c r="O279">
        <f t="shared" si="8"/>
        <v>294.99</v>
      </c>
      <c r="P279" t="str">
        <f t="shared" si="9"/>
        <v>September</v>
      </c>
    </row>
    <row r="280" spans="1:16" x14ac:dyDescent="0.25">
      <c r="A280" t="s">
        <v>312</v>
      </c>
      <c r="B280">
        <v>18</v>
      </c>
      <c r="C280" t="s">
        <v>21</v>
      </c>
      <c r="D280" t="s">
        <v>40</v>
      </c>
      <c r="E280" s="2">
        <v>45844</v>
      </c>
      <c r="F280" t="s">
        <v>41</v>
      </c>
      <c r="G280">
        <v>60</v>
      </c>
      <c r="H280">
        <v>2</v>
      </c>
      <c r="I280">
        <v>97.28</v>
      </c>
      <c r="J280">
        <v>16.72</v>
      </c>
      <c r="K280" t="s">
        <v>18</v>
      </c>
      <c r="L280">
        <v>5.8</v>
      </c>
      <c r="M280">
        <v>8</v>
      </c>
      <c r="N280" t="s">
        <v>34</v>
      </c>
      <c r="O280">
        <f t="shared" si="8"/>
        <v>234</v>
      </c>
      <c r="P280" t="str">
        <f t="shared" si="9"/>
        <v>July</v>
      </c>
    </row>
    <row r="281" spans="1:16" x14ac:dyDescent="0.25">
      <c r="A281" t="s">
        <v>313</v>
      </c>
      <c r="B281">
        <v>28</v>
      </c>
      <c r="C281" t="s">
        <v>38</v>
      </c>
      <c r="D281" t="s">
        <v>40</v>
      </c>
      <c r="E281" s="2">
        <v>45778</v>
      </c>
      <c r="F281" t="s">
        <v>23</v>
      </c>
      <c r="G281">
        <v>150</v>
      </c>
      <c r="H281">
        <v>2</v>
      </c>
      <c r="I281">
        <v>59.56</v>
      </c>
      <c r="J281">
        <v>13.73</v>
      </c>
      <c r="K281" t="s">
        <v>18</v>
      </c>
      <c r="L281">
        <v>7.4</v>
      </c>
      <c r="M281">
        <v>6</v>
      </c>
      <c r="N281" t="s">
        <v>34</v>
      </c>
      <c r="O281">
        <f t="shared" si="8"/>
        <v>373.29</v>
      </c>
      <c r="P281" t="str">
        <f t="shared" si="9"/>
        <v>May</v>
      </c>
    </row>
    <row r="282" spans="1:16" x14ac:dyDescent="0.25">
      <c r="A282" t="s">
        <v>314</v>
      </c>
      <c r="B282">
        <v>45</v>
      </c>
      <c r="C282" t="s">
        <v>15</v>
      </c>
      <c r="D282" t="s">
        <v>52</v>
      </c>
      <c r="E282" s="2">
        <v>45833</v>
      </c>
      <c r="F282" t="s">
        <v>17</v>
      </c>
      <c r="G282">
        <v>200</v>
      </c>
      <c r="H282">
        <v>1</v>
      </c>
      <c r="I282">
        <v>41.96</v>
      </c>
      <c r="J282">
        <v>13.93</v>
      </c>
      <c r="K282" t="s">
        <v>18</v>
      </c>
      <c r="L282">
        <v>10</v>
      </c>
      <c r="M282">
        <v>8</v>
      </c>
      <c r="N282" t="s">
        <v>19</v>
      </c>
      <c r="O282">
        <f t="shared" si="8"/>
        <v>255.89000000000001</v>
      </c>
      <c r="P282" t="str">
        <f t="shared" si="9"/>
        <v>June</v>
      </c>
    </row>
    <row r="283" spans="1:16" x14ac:dyDescent="0.25">
      <c r="A283" t="s">
        <v>315</v>
      </c>
      <c r="B283">
        <v>42</v>
      </c>
      <c r="C283" t="s">
        <v>15</v>
      </c>
      <c r="D283" t="s">
        <v>40</v>
      </c>
      <c r="E283" s="2">
        <v>45669</v>
      </c>
      <c r="F283" t="s">
        <v>41</v>
      </c>
      <c r="G283">
        <v>60</v>
      </c>
      <c r="H283">
        <v>4</v>
      </c>
      <c r="I283">
        <v>58.73</v>
      </c>
      <c r="J283">
        <v>33.630000000000003</v>
      </c>
      <c r="K283" t="s">
        <v>24</v>
      </c>
      <c r="L283">
        <v>4.8</v>
      </c>
      <c r="M283">
        <v>9</v>
      </c>
      <c r="N283" t="s">
        <v>19</v>
      </c>
      <c r="O283">
        <f t="shared" si="8"/>
        <v>332.36</v>
      </c>
      <c r="P283" t="str">
        <f t="shared" si="9"/>
        <v>January</v>
      </c>
    </row>
    <row r="284" spans="1:16" x14ac:dyDescent="0.25">
      <c r="A284" t="s">
        <v>316</v>
      </c>
      <c r="B284">
        <v>67</v>
      </c>
      <c r="C284" t="s">
        <v>15</v>
      </c>
      <c r="D284" t="s">
        <v>52</v>
      </c>
      <c r="E284" s="2">
        <v>45887</v>
      </c>
      <c r="F284" t="s">
        <v>29</v>
      </c>
      <c r="G284">
        <v>100</v>
      </c>
      <c r="H284">
        <v>3</v>
      </c>
      <c r="I284">
        <v>89.45</v>
      </c>
      <c r="J284">
        <v>7.64</v>
      </c>
      <c r="K284" t="s">
        <v>18</v>
      </c>
      <c r="L284">
        <v>7.1</v>
      </c>
      <c r="M284">
        <v>9</v>
      </c>
      <c r="N284" t="s">
        <v>25</v>
      </c>
      <c r="O284">
        <f t="shared" si="8"/>
        <v>397.09</v>
      </c>
      <c r="P284" t="str">
        <f t="shared" si="9"/>
        <v>August</v>
      </c>
    </row>
    <row r="285" spans="1:16" x14ac:dyDescent="0.25">
      <c r="A285" t="s">
        <v>317</v>
      </c>
      <c r="B285">
        <v>40</v>
      </c>
      <c r="C285" t="s">
        <v>21</v>
      </c>
      <c r="D285" t="s">
        <v>52</v>
      </c>
      <c r="E285" s="2">
        <v>45902</v>
      </c>
      <c r="F285" t="s">
        <v>17</v>
      </c>
      <c r="G285">
        <v>200</v>
      </c>
      <c r="H285">
        <v>4</v>
      </c>
      <c r="I285">
        <v>115.47</v>
      </c>
      <c r="J285">
        <v>41.11</v>
      </c>
      <c r="K285" t="s">
        <v>18</v>
      </c>
      <c r="L285">
        <v>10</v>
      </c>
      <c r="M285">
        <v>9</v>
      </c>
      <c r="N285" t="s">
        <v>19</v>
      </c>
      <c r="O285">
        <f t="shared" si="8"/>
        <v>956.58</v>
      </c>
      <c r="P285" t="str">
        <f t="shared" si="9"/>
        <v>September</v>
      </c>
    </row>
    <row r="286" spans="1:16" x14ac:dyDescent="0.25">
      <c r="A286" t="s">
        <v>318</v>
      </c>
      <c r="B286">
        <v>48</v>
      </c>
      <c r="C286" t="s">
        <v>21</v>
      </c>
      <c r="D286" t="s">
        <v>33</v>
      </c>
      <c r="E286" s="2">
        <v>45815</v>
      </c>
      <c r="F286" t="s">
        <v>29</v>
      </c>
      <c r="G286">
        <v>100</v>
      </c>
      <c r="H286">
        <v>4</v>
      </c>
      <c r="I286">
        <v>31.24</v>
      </c>
      <c r="J286">
        <v>19.72</v>
      </c>
      <c r="K286" t="s">
        <v>18</v>
      </c>
      <c r="L286">
        <v>9.9</v>
      </c>
      <c r="M286">
        <v>9</v>
      </c>
      <c r="N286" t="s">
        <v>19</v>
      </c>
      <c r="O286">
        <f t="shared" si="8"/>
        <v>450.96000000000004</v>
      </c>
      <c r="P286" t="str">
        <f t="shared" si="9"/>
        <v>June</v>
      </c>
    </row>
    <row r="287" spans="1:16" x14ac:dyDescent="0.25">
      <c r="A287" t="s">
        <v>319</v>
      </c>
      <c r="B287">
        <v>47</v>
      </c>
      <c r="C287" t="s">
        <v>15</v>
      </c>
      <c r="D287" t="s">
        <v>40</v>
      </c>
      <c r="E287" s="2">
        <v>45888</v>
      </c>
      <c r="F287" t="s">
        <v>29</v>
      </c>
      <c r="G287">
        <v>100</v>
      </c>
      <c r="H287">
        <v>3</v>
      </c>
      <c r="I287">
        <v>39.1</v>
      </c>
      <c r="J287">
        <v>12.33</v>
      </c>
      <c r="K287" t="s">
        <v>18</v>
      </c>
      <c r="L287">
        <v>7.1</v>
      </c>
      <c r="M287">
        <v>7</v>
      </c>
      <c r="N287" t="s">
        <v>19</v>
      </c>
      <c r="O287">
        <f t="shared" si="8"/>
        <v>351.43</v>
      </c>
      <c r="P287" t="str">
        <f t="shared" si="9"/>
        <v>August</v>
      </c>
    </row>
    <row r="288" spans="1:16" x14ac:dyDescent="0.25">
      <c r="A288" t="s">
        <v>320</v>
      </c>
      <c r="B288">
        <v>59</v>
      </c>
      <c r="C288" t="s">
        <v>38</v>
      </c>
      <c r="D288" t="s">
        <v>36</v>
      </c>
      <c r="E288" s="2">
        <v>45863</v>
      </c>
      <c r="F288" t="s">
        <v>41</v>
      </c>
      <c r="G288">
        <v>60</v>
      </c>
      <c r="H288">
        <v>1</v>
      </c>
      <c r="I288">
        <v>84.43</v>
      </c>
      <c r="J288">
        <v>10.46</v>
      </c>
      <c r="K288" t="s">
        <v>18</v>
      </c>
      <c r="L288">
        <v>8.3000000000000007</v>
      </c>
      <c r="M288">
        <v>9</v>
      </c>
      <c r="N288" t="s">
        <v>19</v>
      </c>
      <c r="O288">
        <f t="shared" si="8"/>
        <v>154.89000000000001</v>
      </c>
      <c r="P288" t="str">
        <f t="shared" si="9"/>
        <v>July</v>
      </c>
    </row>
    <row r="289" spans="1:16" x14ac:dyDescent="0.25">
      <c r="A289" t="s">
        <v>321</v>
      </c>
      <c r="B289">
        <v>52</v>
      </c>
      <c r="C289" t="s">
        <v>21</v>
      </c>
      <c r="D289" t="s">
        <v>16</v>
      </c>
      <c r="E289" s="2">
        <v>45742</v>
      </c>
      <c r="F289" t="s">
        <v>23</v>
      </c>
      <c r="G289">
        <v>150</v>
      </c>
      <c r="H289">
        <v>4</v>
      </c>
      <c r="I289">
        <v>137.36850000000001</v>
      </c>
      <c r="J289">
        <v>9.52</v>
      </c>
      <c r="K289" t="s">
        <v>18</v>
      </c>
      <c r="L289">
        <v>8.6999999999999993</v>
      </c>
      <c r="M289">
        <v>10</v>
      </c>
      <c r="N289" t="s">
        <v>19</v>
      </c>
      <c r="O289">
        <f t="shared" si="8"/>
        <v>746.88850000000002</v>
      </c>
      <c r="P289" t="str">
        <f t="shared" si="9"/>
        <v>March</v>
      </c>
    </row>
    <row r="290" spans="1:16" x14ac:dyDescent="0.25">
      <c r="A290" t="s">
        <v>322</v>
      </c>
      <c r="B290">
        <v>24</v>
      </c>
      <c r="C290" t="s">
        <v>15</v>
      </c>
      <c r="D290" t="s">
        <v>27</v>
      </c>
      <c r="E290" s="2">
        <v>45704</v>
      </c>
      <c r="F290" t="s">
        <v>29</v>
      </c>
      <c r="G290">
        <v>100</v>
      </c>
      <c r="H290">
        <v>4</v>
      </c>
      <c r="I290">
        <v>137.36850000000001</v>
      </c>
      <c r="J290">
        <v>9.17</v>
      </c>
      <c r="K290" t="s">
        <v>24</v>
      </c>
      <c r="L290">
        <v>8.1999999999999993</v>
      </c>
      <c r="M290">
        <v>7</v>
      </c>
      <c r="N290" t="s">
        <v>34</v>
      </c>
      <c r="O290">
        <f t="shared" si="8"/>
        <v>546.5385</v>
      </c>
      <c r="P290" t="str">
        <f t="shared" si="9"/>
        <v>February</v>
      </c>
    </row>
    <row r="291" spans="1:16" x14ac:dyDescent="0.25">
      <c r="A291" t="s">
        <v>323</v>
      </c>
      <c r="B291">
        <v>33</v>
      </c>
      <c r="C291" t="s">
        <v>21</v>
      </c>
      <c r="D291" t="s">
        <v>52</v>
      </c>
      <c r="E291" s="2">
        <v>45710</v>
      </c>
      <c r="F291" t="s">
        <v>29</v>
      </c>
      <c r="G291">
        <v>100</v>
      </c>
      <c r="H291">
        <v>2</v>
      </c>
      <c r="I291">
        <v>122.58</v>
      </c>
      <c r="J291">
        <v>27.59</v>
      </c>
      <c r="K291" t="s">
        <v>18</v>
      </c>
      <c r="L291">
        <v>10</v>
      </c>
      <c r="M291">
        <v>10</v>
      </c>
      <c r="N291" t="s">
        <v>30</v>
      </c>
      <c r="O291">
        <f t="shared" si="8"/>
        <v>350.16999999999996</v>
      </c>
      <c r="P291" t="str">
        <f t="shared" si="9"/>
        <v>February</v>
      </c>
    </row>
    <row r="292" spans="1:16" x14ac:dyDescent="0.25">
      <c r="A292" t="s">
        <v>324</v>
      </c>
      <c r="B292">
        <v>43</v>
      </c>
      <c r="C292" t="s">
        <v>21</v>
      </c>
      <c r="D292" t="s">
        <v>22</v>
      </c>
      <c r="E292" s="2">
        <v>45760</v>
      </c>
      <c r="F292" t="s">
        <v>41</v>
      </c>
      <c r="G292">
        <v>60</v>
      </c>
      <c r="H292">
        <v>4</v>
      </c>
      <c r="I292">
        <v>137.36850000000001</v>
      </c>
      <c r="J292">
        <v>6.13</v>
      </c>
      <c r="K292" t="s">
        <v>24</v>
      </c>
      <c r="L292">
        <v>8.5</v>
      </c>
      <c r="M292">
        <v>9</v>
      </c>
      <c r="N292" t="s">
        <v>19</v>
      </c>
      <c r="O292">
        <f t="shared" si="8"/>
        <v>383.49850000000004</v>
      </c>
      <c r="P292" t="str">
        <f t="shared" si="9"/>
        <v>April</v>
      </c>
    </row>
    <row r="293" spans="1:16" x14ac:dyDescent="0.25">
      <c r="A293" t="s">
        <v>325</v>
      </c>
      <c r="B293">
        <v>65</v>
      </c>
      <c r="C293" t="s">
        <v>15</v>
      </c>
      <c r="D293" t="s">
        <v>22</v>
      </c>
      <c r="E293" s="2">
        <v>45817</v>
      </c>
      <c r="F293" t="s">
        <v>29</v>
      </c>
      <c r="G293">
        <v>100</v>
      </c>
      <c r="H293">
        <v>3</v>
      </c>
      <c r="I293">
        <v>25.78</v>
      </c>
      <c r="J293">
        <v>14.58</v>
      </c>
      <c r="K293" t="s">
        <v>24</v>
      </c>
      <c r="L293">
        <v>9.6999999999999993</v>
      </c>
      <c r="M293">
        <v>8</v>
      </c>
      <c r="N293" t="s">
        <v>25</v>
      </c>
      <c r="O293">
        <f t="shared" si="8"/>
        <v>340.35999999999996</v>
      </c>
      <c r="P293" t="str">
        <f t="shared" si="9"/>
        <v>June</v>
      </c>
    </row>
    <row r="294" spans="1:16" x14ac:dyDescent="0.25">
      <c r="A294" t="s">
        <v>326</v>
      </c>
      <c r="B294">
        <v>69</v>
      </c>
      <c r="C294" t="s">
        <v>15</v>
      </c>
      <c r="D294" t="s">
        <v>16</v>
      </c>
      <c r="E294" s="2">
        <v>45788</v>
      </c>
      <c r="F294" t="s">
        <v>29</v>
      </c>
      <c r="G294">
        <v>100</v>
      </c>
      <c r="H294">
        <v>2</v>
      </c>
      <c r="I294">
        <v>23.16</v>
      </c>
      <c r="J294">
        <v>18.829999999999998</v>
      </c>
      <c r="K294" t="s">
        <v>24</v>
      </c>
      <c r="L294">
        <v>8.3000000000000007</v>
      </c>
      <c r="M294">
        <v>8</v>
      </c>
      <c r="N294" t="s">
        <v>25</v>
      </c>
      <c r="O294">
        <f t="shared" si="8"/>
        <v>241.99</v>
      </c>
      <c r="P294" t="str">
        <f t="shared" si="9"/>
        <v>May</v>
      </c>
    </row>
    <row r="295" spans="1:16" x14ac:dyDescent="0.25">
      <c r="A295" t="s">
        <v>327</v>
      </c>
      <c r="B295">
        <v>66</v>
      </c>
      <c r="C295" t="s">
        <v>15</v>
      </c>
      <c r="D295" t="s">
        <v>22</v>
      </c>
      <c r="E295" s="2">
        <v>45823</v>
      </c>
      <c r="F295" t="s">
        <v>23</v>
      </c>
      <c r="G295">
        <v>150</v>
      </c>
      <c r="H295">
        <v>1</v>
      </c>
      <c r="I295">
        <v>20.41</v>
      </c>
      <c r="J295">
        <v>7.37</v>
      </c>
      <c r="K295" t="s">
        <v>18</v>
      </c>
      <c r="L295">
        <v>5</v>
      </c>
      <c r="M295">
        <v>8</v>
      </c>
      <c r="N295" t="s">
        <v>25</v>
      </c>
      <c r="O295">
        <f t="shared" si="8"/>
        <v>177.78</v>
      </c>
      <c r="P295" t="str">
        <f t="shared" si="9"/>
        <v>June</v>
      </c>
    </row>
    <row r="296" spans="1:16" x14ac:dyDescent="0.25">
      <c r="A296" t="s">
        <v>328</v>
      </c>
      <c r="B296">
        <v>19</v>
      </c>
      <c r="C296" t="s">
        <v>15</v>
      </c>
      <c r="D296" t="s">
        <v>36</v>
      </c>
      <c r="E296" s="2">
        <v>45870</v>
      </c>
      <c r="F296" t="s">
        <v>41</v>
      </c>
      <c r="G296">
        <v>60</v>
      </c>
      <c r="H296">
        <v>2</v>
      </c>
      <c r="I296">
        <v>25.38</v>
      </c>
      <c r="J296">
        <v>4.83</v>
      </c>
      <c r="K296" t="s">
        <v>24</v>
      </c>
      <c r="L296">
        <v>6.2</v>
      </c>
      <c r="M296">
        <v>9</v>
      </c>
      <c r="N296" t="s">
        <v>34</v>
      </c>
      <c r="O296">
        <f t="shared" si="8"/>
        <v>150.21</v>
      </c>
      <c r="P296" t="str">
        <f t="shared" si="9"/>
        <v>August</v>
      </c>
    </row>
    <row r="297" spans="1:16" x14ac:dyDescent="0.25">
      <c r="A297" t="s">
        <v>329</v>
      </c>
      <c r="B297">
        <v>18</v>
      </c>
      <c r="C297" t="s">
        <v>21</v>
      </c>
      <c r="D297" t="s">
        <v>22</v>
      </c>
      <c r="E297" s="2">
        <v>45764</v>
      </c>
      <c r="F297" t="s">
        <v>29</v>
      </c>
      <c r="G297">
        <v>100</v>
      </c>
      <c r="H297">
        <v>3</v>
      </c>
      <c r="I297">
        <v>82.37</v>
      </c>
      <c r="J297">
        <v>1.99</v>
      </c>
      <c r="K297" t="s">
        <v>18</v>
      </c>
      <c r="L297">
        <v>6.5</v>
      </c>
      <c r="M297">
        <v>9</v>
      </c>
      <c r="N297" t="s">
        <v>34</v>
      </c>
      <c r="O297">
        <f t="shared" si="8"/>
        <v>384.36</v>
      </c>
      <c r="P297" t="str">
        <f t="shared" si="9"/>
        <v>April</v>
      </c>
    </row>
    <row r="298" spans="1:16" x14ac:dyDescent="0.25">
      <c r="A298" t="s">
        <v>330</v>
      </c>
      <c r="B298">
        <v>65</v>
      </c>
      <c r="C298" t="s">
        <v>38</v>
      </c>
      <c r="D298" t="s">
        <v>27</v>
      </c>
      <c r="E298" s="2">
        <v>45666</v>
      </c>
      <c r="F298" t="s">
        <v>17</v>
      </c>
      <c r="G298">
        <v>200</v>
      </c>
      <c r="H298">
        <v>3</v>
      </c>
      <c r="I298">
        <v>57.37</v>
      </c>
      <c r="J298">
        <v>18.41</v>
      </c>
      <c r="K298" t="s">
        <v>18</v>
      </c>
      <c r="L298">
        <v>7.6</v>
      </c>
      <c r="M298">
        <v>7</v>
      </c>
      <c r="N298" t="s">
        <v>25</v>
      </c>
      <c r="O298">
        <f t="shared" si="8"/>
        <v>675.78</v>
      </c>
      <c r="P298" t="str">
        <f t="shared" si="9"/>
        <v>January</v>
      </c>
    </row>
    <row r="299" spans="1:16" x14ac:dyDescent="0.25">
      <c r="A299" t="s">
        <v>331</v>
      </c>
      <c r="B299">
        <v>29</v>
      </c>
      <c r="C299" t="s">
        <v>15</v>
      </c>
      <c r="D299" t="s">
        <v>27</v>
      </c>
      <c r="E299" s="2">
        <v>45868</v>
      </c>
      <c r="F299" t="s">
        <v>29</v>
      </c>
      <c r="G299">
        <v>100</v>
      </c>
      <c r="H299">
        <v>2</v>
      </c>
      <c r="I299">
        <v>91.51</v>
      </c>
      <c r="J299">
        <v>2.91</v>
      </c>
      <c r="K299" t="s">
        <v>24</v>
      </c>
      <c r="L299">
        <v>10</v>
      </c>
      <c r="M299">
        <v>5</v>
      </c>
      <c r="N299" t="s">
        <v>34</v>
      </c>
      <c r="O299">
        <f t="shared" si="8"/>
        <v>294.42</v>
      </c>
      <c r="P299" t="str">
        <f t="shared" si="9"/>
        <v>July</v>
      </c>
    </row>
    <row r="300" spans="1:16" x14ac:dyDescent="0.25">
      <c r="A300" t="s">
        <v>332</v>
      </c>
      <c r="B300">
        <v>22</v>
      </c>
      <c r="C300" t="s">
        <v>15</v>
      </c>
      <c r="D300" t="s">
        <v>52</v>
      </c>
      <c r="E300" s="2">
        <v>45690</v>
      </c>
      <c r="F300" t="s">
        <v>23</v>
      </c>
      <c r="G300">
        <v>150</v>
      </c>
      <c r="H300">
        <v>1</v>
      </c>
      <c r="I300">
        <v>134.91</v>
      </c>
      <c r="J300">
        <v>46.159499999999987</v>
      </c>
      <c r="K300" t="s">
        <v>18</v>
      </c>
      <c r="L300">
        <v>8.5</v>
      </c>
      <c r="M300">
        <v>9</v>
      </c>
      <c r="N300" t="s">
        <v>34</v>
      </c>
      <c r="O300">
        <f t="shared" si="8"/>
        <v>331.06949999999995</v>
      </c>
      <c r="P300" t="str">
        <f t="shared" si="9"/>
        <v>February</v>
      </c>
    </row>
    <row r="301" spans="1:16" x14ac:dyDescent="0.25">
      <c r="A301" t="s">
        <v>333</v>
      </c>
      <c r="B301">
        <v>54</v>
      </c>
      <c r="C301" t="s">
        <v>15</v>
      </c>
      <c r="D301" t="s">
        <v>40</v>
      </c>
      <c r="E301" s="2">
        <v>45903</v>
      </c>
      <c r="F301" t="s">
        <v>17</v>
      </c>
      <c r="G301">
        <v>200</v>
      </c>
      <c r="H301">
        <v>2</v>
      </c>
      <c r="I301">
        <v>65.27</v>
      </c>
      <c r="J301">
        <v>22.19</v>
      </c>
      <c r="K301" t="s">
        <v>18</v>
      </c>
      <c r="L301">
        <v>7.8</v>
      </c>
      <c r="M301">
        <v>5</v>
      </c>
      <c r="N301" t="s">
        <v>19</v>
      </c>
      <c r="O301">
        <f t="shared" si="8"/>
        <v>487.46</v>
      </c>
      <c r="P301" t="str">
        <f t="shared" si="9"/>
        <v>September</v>
      </c>
    </row>
    <row r="302" spans="1:16" x14ac:dyDescent="0.25">
      <c r="A302" t="s">
        <v>334</v>
      </c>
      <c r="B302">
        <v>49</v>
      </c>
      <c r="C302" t="s">
        <v>15</v>
      </c>
      <c r="D302" t="s">
        <v>33</v>
      </c>
      <c r="E302" s="2">
        <v>45880</v>
      </c>
      <c r="F302" t="s">
        <v>41</v>
      </c>
      <c r="G302">
        <v>60</v>
      </c>
      <c r="H302">
        <v>1</v>
      </c>
      <c r="I302">
        <v>56.82</v>
      </c>
      <c r="J302">
        <v>11.5</v>
      </c>
      <c r="K302" t="s">
        <v>18</v>
      </c>
      <c r="L302">
        <v>9.9</v>
      </c>
      <c r="M302">
        <v>6</v>
      </c>
      <c r="N302" t="s">
        <v>19</v>
      </c>
      <c r="O302">
        <f t="shared" si="8"/>
        <v>128.32</v>
      </c>
      <c r="P302" t="str">
        <f t="shared" si="9"/>
        <v>August</v>
      </c>
    </row>
    <row r="303" spans="1:16" x14ac:dyDescent="0.25">
      <c r="A303" t="s">
        <v>335</v>
      </c>
      <c r="B303">
        <v>26</v>
      </c>
      <c r="C303" t="s">
        <v>21</v>
      </c>
      <c r="D303" t="s">
        <v>36</v>
      </c>
      <c r="E303" s="2">
        <v>45887</v>
      </c>
      <c r="F303" t="s">
        <v>29</v>
      </c>
      <c r="G303">
        <v>100</v>
      </c>
      <c r="H303">
        <v>2</v>
      </c>
      <c r="I303">
        <v>137.36850000000001</v>
      </c>
      <c r="J303">
        <v>11.51</v>
      </c>
      <c r="K303" t="s">
        <v>18</v>
      </c>
      <c r="L303">
        <v>5.8</v>
      </c>
      <c r="M303">
        <v>7</v>
      </c>
      <c r="N303" t="s">
        <v>34</v>
      </c>
      <c r="O303">
        <f t="shared" si="8"/>
        <v>348.87850000000003</v>
      </c>
      <c r="P303" t="str">
        <f t="shared" si="9"/>
        <v>August</v>
      </c>
    </row>
    <row r="304" spans="1:16" x14ac:dyDescent="0.25">
      <c r="A304" t="s">
        <v>336</v>
      </c>
      <c r="B304">
        <v>58</v>
      </c>
      <c r="C304" t="s">
        <v>15</v>
      </c>
      <c r="D304" t="s">
        <v>52</v>
      </c>
      <c r="E304" s="2">
        <v>45839</v>
      </c>
      <c r="F304" t="s">
        <v>41</v>
      </c>
      <c r="G304">
        <v>60</v>
      </c>
      <c r="H304">
        <v>3</v>
      </c>
      <c r="I304">
        <v>39.85</v>
      </c>
      <c r="J304">
        <v>18.73</v>
      </c>
      <c r="K304" t="s">
        <v>18</v>
      </c>
      <c r="L304">
        <v>7.3</v>
      </c>
      <c r="M304">
        <v>6</v>
      </c>
      <c r="N304" t="s">
        <v>19</v>
      </c>
      <c r="O304">
        <f t="shared" si="8"/>
        <v>238.57999999999998</v>
      </c>
      <c r="P304" t="str">
        <f t="shared" si="9"/>
        <v>July</v>
      </c>
    </row>
    <row r="305" spans="1:16" x14ac:dyDescent="0.25">
      <c r="A305" t="s">
        <v>337</v>
      </c>
      <c r="B305">
        <v>52</v>
      </c>
      <c r="C305" t="s">
        <v>15</v>
      </c>
      <c r="D305" t="s">
        <v>36</v>
      </c>
      <c r="E305" s="2">
        <v>45700</v>
      </c>
      <c r="F305" t="s">
        <v>23</v>
      </c>
      <c r="G305">
        <v>150</v>
      </c>
      <c r="H305">
        <v>4</v>
      </c>
      <c r="I305">
        <v>16.11</v>
      </c>
      <c r="J305">
        <v>11.94</v>
      </c>
      <c r="K305" t="s">
        <v>18</v>
      </c>
      <c r="L305">
        <v>7</v>
      </c>
      <c r="M305">
        <v>9</v>
      </c>
      <c r="N305" t="s">
        <v>19</v>
      </c>
      <c r="O305">
        <f t="shared" si="8"/>
        <v>628.05000000000007</v>
      </c>
      <c r="P305" t="str">
        <f t="shared" si="9"/>
        <v>February</v>
      </c>
    </row>
    <row r="306" spans="1:16" x14ac:dyDescent="0.25">
      <c r="A306" t="s">
        <v>338</v>
      </c>
      <c r="B306">
        <v>36</v>
      </c>
      <c r="C306" t="s">
        <v>15</v>
      </c>
      <c r="D306" t="s">
        <v>40</v>
      </c>
      <c r="E306" s="2">
        <v>45705</v>
      </c>
      <c r="F306" t="s">
        <v>41</v>
      </c>
      <c r="G306">
        <v>60</v>
      </c>
      <c r="H306">
        <v>4</v>
      </c>
      <c r="I306">
        <v>79.819999999999993</v>
      </c>
      <c r="J306">
        <v>2.4300000000000002</v>
      </c>
      <c r="K306" t="s">
        <v>24</v>
      </c>
      <c r="L306">
        <v>8.6</v>
      </c>
      <c r="M306">
        <v>8</v>
      </c>
      <c r="N306" t="s">
        <v>30</v>
      </c>
      <c r="O306">
        <f t="shared" si="8"/>
        <v>322.25</v>
      </c>
      <c r="P306" t="str">
        <f t="shared" si="9"/>
        <v>February</v>
      </c>
    </row>
    <row r="307" spans="1:16" x14ac:dyDescent="0.25">
      <c r="A307" t="s">
        <v>339</v>
      </c>
      <c r="B307">
        <v>65</v>
      </c>
      <c r="C307" t="s">
        <v>21</v>
      </c>
      <c r="D307" t="s">
        <v>22</v>
      </c>
      <c r="E307" s="2">
        <v>45674</v>
      </c>
      <c r="F307" t="s">
        <v>17</v>
      </c>
      <c r="G307">
        <v>200</v>
      </c>
      <c r="H307">
        <v>1</v>
      </c>
      <c r="I307">
        <v>35.04</v>
      </c>
      <c r="J307">
        <v>3.86</v>
      </c>
      <c r="K307" t="s">
        <v>24</v>
      </c>
      <c r="L307">
        <v>9.3000000000000007</v>
      </c>
      <c r="M307">
        <v>9</v>
      </c>
      <c r="N307" t="s">
        <v>25</v>
      </c>
      <c r="O307">
        <f t="shared" si="8"/>
        <v>238.9</v>
      </c>
      <c r="P307" t="str">
        <f t="shared" si="9"/>
        <v>January</v>
      </c>
    </row>
    <row r="308" spans="1:16" x14ac:dyDescent="0.25">
      <c r="A308" t="s">
        <v>340</v>
      </c>
      <c r="B308">
        <v>33</v>
      </c>
      <c r="C308" t="s">
        <v>15</v>
      </c>
      <c r="D308" t="s">
        <v>22</v>
      </c>
      <c r="E308" s="2">
        <v>45750</v>
      </c>
      <c r="F308" t="s">
        <v>23</v>
      </c>
      <c r="G308">
        <v>150</v>
      </c>
      <c r="H308">
        <v>1</v>
      </c>
      <c r="I308">
        <v>63.19</v>
      </c>
      <c r="J308">
        <v>31.45</v>
      </c>
      <c r="K308" t="s">
        <v>24</v>
      </c>
      <c r="L308">
        <v>8.6999999999999993</v>
      </c>
      <c r="M308">
        <v>6</v>
      </c>
      <c r="N308" t="s">
        <v>30</v>
      </c>
      <c r="O308">
        <f t="shared" si="8"/>
        <v>244.64</v>
      </c>
      <c r="P308" t="str">
        <f t="shared" si="9"/>
        <v>April</v>
      </c>
    </row>
    <row r="309" spans="1:16" x14ac:dyDescent="0.25">
      <c r="A309" t="s">
        <v>341</v>
      </c>
      <c r="B309">
        <v>20</v>
      </c>
      <c r="C309" t="s">
        <v>21</v>
      </c>
      <c r="D309" t="s">
        <v>33</v>
      </c>
      <c r="E309" s="2">
        <v>45688</v>
      </c>
      <c r="F309" t="s">
        <v>41</v>
      </c>
      <c r="G309">
        <v>60</v>
      </c>
      <c r="H309">
        <v>1</v>
      </c>
      <c r="I309">
        <v>25.53</v>
      </c>
      <c r="J309">
        <v>10.7</v>
      </c>
      <c r="K309" t="s">
        <v>18</v>
      </c>
      <c r="L309">
        <v>8.6999999999999993</v>
      </c>
      <c r="M309">
        <v>7</v>
      </c>
      <c r="N309" t="s">
        <v>34</v>
      </c>
      <c r="O309">
        <f t="shared" si="8"/>
        <v>96.23</v>
      </c>
      <c r="P309" t="str">
        <f t="shared" si="9"/>
        <v>January</v>
      </c>
    </row>
    <row r="310" spans="1:16" x14ac:dyDescent="0.25">
      <c r="A310" t="s">
        <v>342</v>
      </c>
      <c r="B310">
        <v>37</v>
      </c>
      <c r="C310" t="s">
        <v>15</v>
      </c>
      <c r="D310" t="s">
        <v>40</v>
      </c>
      <c r="E310" s="2">
        <v>45716</v>
      </c>
      <c r="F310" t="s">
        <v>41</v>
      </c>
      <c r="G310">
        <v>60</v>
      </c>
      <c r="H310">
        <v>3</v>
      </c>
      <c r="I310">
        <v>81.95</v>
      </c>
      <c r="J310">
        <v>15.77</v>
      </c>
      <c r="K310" t="s">
        <v>18</v>
      </c>
      <c r="L310">
        <v>7.5</v>
      </c>
      <c r="M310">
        <v>8</v>
      </c>
      <c r="N310" t="s">
        <v>30</v>
      </c>
      <c r="O310">
        <f t="shared" si="8"/>
        <v>277.71999999999997</v>
      </c>
      <c r="P310" t="str">
        <f t="shared" si="9"/>
        <v>February</v>
      </c>
    </row>
    <row r="311" spans="1:16" x14ac:dyDescent="0.25">
      <c r="A311" t="s">
        <v>343</v>
      </c>
      <c r="B311">
        <v>41</v>
      </c>
      <c r="C311" t="s">
        <v>21</v>
      </c>
      <c r="D311" t="s">
        <v>52</v>
      </c>
      <c r="E311" s="2">
        <v>45781</v>
      </c>
      <c r="F311" t="s">
        <v>29</v>
      </c>
      <c r="G311">
        <v>100</v>
      </c>
      <c r="H311">
        <v>2</v>
      </c>
      <c r="I311">
        <v>55.26</v>
      </c>
      <c r="J311">
        <v>29.42</v>
      </c>
      <c r="K311" t="s">
        <v>24</v>
      </c>
      <c r="L311">
        <v>8.5</v>
      </c>
      <c r="M311">
        <v>8</v>
      </c>
      <c r="N311" t="s">
        <v>19</v>
      </c>
      <c r="O311">
        <f t="shared" si="8"/>
        <v>284.68</v>
      </c>
      <c r="P311" t="str">
        <f t="shared" si="9"/>
        <v>May</v>
      </c>
    </row>
    <row r="312" spans="1:16" x14ac:dyDescent="0.25">
      <c r="A312" t="s">
        <v>344</v>
      </c>
      <c r="B312">
        <v>50</v>
      </c>
      <c r="C312" t="s">
        <v>21</v>
      </c>
      <c r="D312" t="s">
        <v>33</v>
      </c>
      <c r="E312" s="2">
        <v>45803</v>
      </c>
      <c r="F312" t="s">
        <v>23</v>
      </c>
      <c r="G312">
        <v>150</v>
      </c>
      <c r="H312">
        <v>3</v>
      </c>
      <c r="I312">
        <v>53.42</v>
      </c>
      <c r="J312">
        <v>9.9</v>
      </c>
      <c r="K312" t="s">
        <v>24</v>
      </c>
      <c r="L312">
        <v>6.7</v>
      </c>
      <c r="M312">
        <v>9</v>
      </c>
      <c r="N312" t="s">
        <v>19</v>
      </c>
      <c r="O312">
        <f t="shared" si="8"/>
        <v>513.32000000000005</v>
      </c>
      <c r="P312" t="str">
        <f t="shared" si="9"/>
        <v>May</v>
      </c>
    </row>
    <row r="313" spans="1:16" x14ac:dyDescent="0.25">
      <c r="A313" t="s">
        <v>345</v>
      </c>
      <c r="B313">
        <v>41</v>
      </c>
      <c r="C313" t="s">
        <v>15</v>
      </c>
      <c r="D313" t="s">
        <v>40</v>
      </c>
      <c r="E313" s="2">
        <v>45825</v>
      </c>
      <c r="F313" t="s">
        <v>41</v>
      </c>
      <c r="G313">
        <v>60</v>
      </c>
      <c r="H313">
        <v>4</v>
      </c>
      <c r="I313">
        <v>92.48</v>
      </c>
      <c r="J313">
        <v>2.2200000000000002</v>
      </c>
      <c r="K313" t="s">
        <v>18</v>
      </c>
      <c r="L313">
        <v>9</v>
      </c>
      <c r="M313">
        <v>7</v>
      </c>
      <c r="N313" t="s">
        <v>19</v>
      </c>
      <c r="O313">
        <f t="shared" si="8"/>
        <v>334.70000000000005</v>
      </c>
      <c r="P313" t="str">
        <f t="shared" si="9"/>
        <v>June</v>
      </c>
    </row>
    <row r="314" spans="1:16" x14ac:dyDescent="0.25">
      <c r="A314" t="s">
        <v>346</v>
      </c>
      <c r="B314">
        <v>69</v>
      </c>
      <c r="C314" t="s">
        <v>15</v>
      </c>
      <c r="D314" t="s">
        <v>16</v>
      </c>
      <c r="E314" s="2">
        <v>45780</v>
      </c>
      <c r="F314" t="s">
        <v>29</v>
      </c>
      <c r="G314">
        <v>100</v>
      </c>
      <c r="H314">
        <v>1</v>
      </c>
      <c r="I314">
        <v>137.36850000000001</v>
      </c>
      <c r="J314">
        <v>16.57</v>
      </c>
      <c r="K314" t="s">
        <v>18</v>
      </c>
      <c r="L314">
        <v>7.2</v>
      </c>
      <c r="M314">
        <v>7</v>
      </c>
      <c r="N314" t="s">
        <v>25</v>
      </c>
      <c r="O314">
        <f t="shared" si="8"/>
        <v>253.9385</v>
      </c>
      <c r="P314" t="str">
        <f t="shared" si="9"/>
        <v>May</v>
      </c>
    </row>
    <row r="315" spans="1:16" x14ac:dyDescent="0.25">
      <c r="A315" t="s">
        <v>347</v>
      </c>
      <c r="B315">
        <v>28</v>
      </c>
      <c r="C315" t="s">
        <v>21</v>
      </c>
      <c r="D315" t="s">
        <v>27</v>
      </c>
      <c r="E315" s="2">
        <v>45851</v>
      </c>
      <c r="F315" t="s">
        <v>41</v>
      </c>
      <c r="G315">
        <v>60</v>
      </c>
      <c r="H315">
        <v>2</v>
      </c>
      <c r="I315">
        <v>137.36850000000001</v>
      </c>
      <c r="J315">
        <v>19.260000000000002</v>
      </c>
      <c r="K315" t="s">
        <v>18</v>
      </c>
      <c r="L315">
        <v>6.3</v>
      </c>
      <c r="M315">
        <v>9</v>
      </c>
      <c r="N315" t="s">
        <v>34</v>
      </c>
      <c r="O315">
        <f t="shared" si="8"/>
        <v>276.62850000000003</v>
      </c>
      <c r="P315" t="str">
        <f t="shared" si="9"/>
        <v>July</v>
      </c>
    </row>
    <row r="316" spans="1:16" x14ac:dyDescent="0.25">
      <c r="A316" t="s">
        <v>348</v>
      </c>
      <c r="B316">
        <v>66</v>
      </c>
      <c r="C316" t="s">
        <v>38</v>
      </c>
      <c r="D316" t="s">
        <v>33</v>
      </c>
      <c r="E316" s="2">
        <v>45871</v>
      </c>
      <c r="F316" t="s">
        <v>41</v>
      </c>
      <c r="G316">
        <v>60</v>
      </c>
      <c r="H316">
        <v>4</v>
      </c>
      <c r="I316">
        <v>91.49</v>
      </c>
      <c r="J316">
        <v>7.59</v>
      </c>
      <c r="K316" t="s">
        <v>18</v>
      </c>
      <c r="L316">
        <v>8.1</v>
      </c>
      <c r="M316">
        <v>5</v>
      </c>
      <c r="N316" t="s">
        <v>25</v>
      </c>
      <c r="O316">
        <f t="shared" si="8"/>
        <v>339.08</v>
      </c>
      <c r="P316" t="str">
        <f t="shared" si="9"/>
        <v>August</v>
      </c>
    </row>
    <row r="317" spans="1:16" x14ac:dyDescent="0.25">
      <c r="A317" t="s">
        <v>349</v>
      </c>
      <c r="B317">
        <v>25</v>
      </c>
      <c r="C317" t="s">
        <v>21</v>
      </c>
      <c r="D317" t="s">
        <v>33</v>
      </c>
      <c r="E317" s="2">
        <v>45899</v>
      </c>
      <c r="F317" t="s">
        <v>17</v>
      </c>
      <c r="G317">
        <v>200</v>
      </c>
      <c r="H317">
        <v>4</v>
      </c>
      <c r="I317">
        <v>58.24</v>
      </c>
      <c r="J317">
        <v>5.4</v>
      </c>
      <c r="K317" t="s">
        <v>18</v>
      </c>
      <c r="L317">
        <v>5.0999999999999996</v>
      </c>
      <c r="M317">
        <v>9</v>
      </c>
      <c r="N317" t="s">
        <v>34</v>
      </c>
      <c r="O317">
        <f t="shared" si="8"/>
        <v>863.64</v>
      </c>
      <c r="P317" t="str">
        <f t="shared" si="9"/>
        <v>August</v>
      </c>
    </row>
    <row r="318" spans="1:16" x14ac:dyDescent="0.25">
      <c r="A318" t="s">
        <v>350</v>
      </c>
      <c r="B318">
        <v>53</v>
      </c>
      <c r="C318" t="s">
        <v>21</v>
      </c>
      <c r="D318" t="s">
        <v>52</v>
      </c>
      <c r="E318" s="2">
        <v>45770</v>
      </c>
      <c r="F318" t="s">
        <v>17</v>
      </c>
      <c r="G318">
        <v>200</v>
      </c>
      <c r="H318">
        <v>4</v>
      </c>
      <c r="I318">
        <v>58.8</v>
      </c>
      <c r="J318">
        <v>30.6</v>
      </c>
      <c r="K318" t="s">
        <v>24</v>
      </c>
      <c r="L318">
        <v>10</v>
      </c>
      <c r="M318">
        <v>9</v>
      </c>
      <c r="N318" t="s">
        <v>19</v>
      </c>
      <c r="O318">
        <f t="shared" si="8"/>
        <v>889.4</v>
      </c>
      <c r="P318" t="str">
        <f t="shared" si="9"/>
        <v>April</v>
      </c>
    </row>
    <row r="319" spans="1:16" x14ac:dyDescent="0.25">
      <c r="A319" t="s">
        <v>351</v>
      </c>
      <c r="B319">
        <v>55</v>
      </c>
      <c r="C319" t="s">
        <v>38</v>
      </c>
      <c r="D319" t="s">
        <v>36</v>
      </c>
      <c r="E319" s="2">
        <v>45899</v>
      </c>
      <c r="F319" t="s">
        <v>29</v>
      </c>
      <c r="G319">
        <v>100</v>
      </c>
      <c r="H319">
        <v>3</v>
      </c>
      <c r="I319">
        <v>107.25</v>
      </c>
      <c r="J319">
        <v>22.08</v>
      </c>
      <c r="K319" t="s">
        <v>18</v>
      </c>
      <c r="L319">
        <v>9.1999999999999993</v>
      </c>
      <c r="M319">
        <v>6</v>
      </c>
      <c r="N319" t="s">
        <v>19</v>
      </c>
      <c r="O319">
        <f t="shared" si="8"/>
        <v>429.33</v>
      </c>
      <c r="P319" t="str">
        <f t="shared" si="9"/>
        <v>August</v>
      </c>
    </row>
    <row r="320" spans="1:16" x14ac:dyDescent="0.25">
      <c r="A320" t="s">
        <v>352</v>
      </c>
      <c r="B320">
        <v>57</v>
      </c>
      <c r="C320" t="s">
        <v>21</v>
      </c>
      <c r="D320" t="s">
        <v>16</v>
      </c>
      <c r="E320" s="2">
        <v>45770</v>
      </c>
      <c r="F320" t="s">
        <v>23</v>
      </c>
      <c r="G320">
        <v>150</v>
      </c>
      <c r="H320">
        <v>1</v>
      </c>
      <c r="I320">
        <v>24.53</v>
      </c>
      <c r="J320">
        <v>10.220000000000001</v>
      </c>
      <c r="K320" t="s">
        <v>18</v>
      </c>
      <c r="L320">
        <v>8.5</v>
      </c>
      <c r="M320">
        <v>8</v>
      </c>
      <c r="N320" t="s">
        <v>19</v>
      </c>
      <c r="O320">
        <f t="shared" si="8"/>
        <v>184.75</v>
      </c>
      <c r="P320" t="str">
        <f t="shared" si="9"/>
        <v>April</v>
      </c>
    </row>
    <row r="321" spans="1:16" x14ac:dyDescent="0.25">
      <c r="A321" t="s">
        <v>353</v>
      </c>
      <c r="B321">
        <v>37</v>
      </c>
      <c r="C321" t="s">
        <v>15</v>
      </c>
      <c r="D321" t="s">
        <v>52</v>
      </c>
      <c r="E321" s="2">
        <v>45768</v>
      </c>
      <c r="F321" t="s">
        <v>23</v>
      </c>
      <c r="G321">
        <v>150</v>
      </c>
      <c r="H321">
        <v>4</v>
      </c>
      <c r="I321">
        <v>29.76</v>
      </c>
      <c r="J321">
        <v>4.95</v>
      </c>
      <c r="K321" t="s">
        <v>18</v>
      </c>
      <c r="L321">
        <v>5.6</v>
      </c>
      <c r="M321">
        <v>10</v>
      </c>
      <c r="N321" t="s">
        <v>30</v>
      </c>
      <c r="O321">
        <f t="shared" si="8"/>
        <v>634.71</v>
      </c>
      <c r="P321" t="str">
        <f t="shared" si="9"/>
        <v>April</v>
      </c>
    </row>
    <row r="322" spans="1:16" x14ac:dyDescent="0.25">
      <c r="A322" t="s">
        <v>354</v>
      </c>
      <c r="B322">
        <v>52</v>
      </c>
      <c r="C322" t="s">
        <v>38</v>
      </c>
      <c r="D322" t="s">
        <v>40</v>
      </c>
      <c r="E322" s="2">
        <v>45845</v>
      </c>
      <c r="F322" t="s">
        <v>41</v>
      </c>
      <c r="G322">
        <v>60</v>
      </c>
      <c r="H322">
        <v>1</v>
      </c>
      <c r="I322">
        <v>9.57</v>
      </c>
      <c r="J322">
        <v>24.97</v>
      </c>
      <c r="K322" t="s">
        <v>18</v>
      </c>
      <c r="L322">
        <v>6.9</v>
      </c>
      <c r="M322">
        <v>9</v>
      </c>
      <c r="N322" t="s">
        <v>19</v>
      </c>
      <c r="O322">
        <f t="shared" si="8"/>
        <v>94.539999999999992</v>
      </c>
      <c r="P322" t="str">
        <f t="shared" si="9"/>
        <v>July</v>
      </c>
    </row>
    <row r="323" spans="1:16" x14ac:dyDescent="0.25">
      <c r="A323" t="s">
        <v>355</v>
      </c>
      <c r="B323">
        <v>65</v>
      </c>
      <c r="C323" t="s">
        <v>15</v>
      </c>
      <c r="D323" t="s">
        <v>40</v>
      </c>
      <c r="E323" s="2">
        <v>45723</v>
      </c>
      <c r="F323" t="s">
        <v>29</v>
      </c>
      <c r="G323">
        <v>100</v>
      </c>
      <c r="H323">
        <v>3</v>
      </c>
      <c r="I323">
        <v>112.93</v>
      </c>
      <c r="J323">
        <v>13.04</v>
      </c>
      <c r="K323" t="s">
        <v>18</v>
      </c>
      <c r="L323">
        <v>8.1</v>
      </c>
      <c r="M323">
        <v>9</v>
      </c>
      <c r="N323" t="s">
        <v>25</v>
      </c>
      <c r="O323">
        <f t="shared" ref="O323:O386" si="10">(G323*H323)+I323+J323</f>
        <v>425.97</v>
      </c>
      <c r="P323" t="str">
        <f t="shared" ref="P323:P386" si="11">TEXT(E323, "mmmm")</f>
        <v>March</v>
      </c>
    </row>
    <row r="324" spans="1:16" x14ac:dyDescent="0.25">
      <c r="A324" t="s">
        <v>356</v>
      </c>
      <c r="B324">
        <v>42</v>
      </c>
      <c r="C324" t="s">
        <v>21</v>
      </c>
      <c r="D324" t="s">
        <v>40</v>
      </c>
      <c r="E324" s="2">
        <v>45774</v>
      </c>
      <c r="F324" t="s">
        <v>41</v>
      </c>
      <c r="G324">
        <v>60</v>
      </c>
      <c r="H324">
        <v>4</v>
      </c>
      <c r="I324">
        <v>137.36850000000001</v>
      </c>
      <c r="J324">
        <v>6.92</v>
      </c>
      <c r="K324" t="s">
        <v>18</v>
      </c>
      <c r="L324">
        <v>7.6</v>
      </c>
      <c r="M324">
        <v>10</v>
      </c>
      <c r="N324" t="s">
        <v>19</v>
      </c>
      <c r="O324">
        <f t="shared" si="10"/>
        <v>384.28850000000006</v>
      </c>
      <c r="P324" t="str">
        <f t="shared" si="11"/>
        <v>April</v>
      </c>
    </row>
    <row r="325" spans="1:16" x14ac:dyDescent="0.25">
      <c r="A325" t="s">
        <v>357</v>
      </c>
      <c r="B325">
        <v>52</v>
      </c>
      <c r="C325" t="s">
        <v>15</v>
      </c>
      <c r="D325" t="s">
        <v>40</v>
      </c>
      <c r="E325" s="2">
        <v>45868</v>
      </c>
      <c r="F325" t="s">
        <v>29</v>
      </c>
      <c r="G325">
        <v>100</v>
      </c>
      <c r="H325">
        <v>3</v>
      </c>
      <c r="I325">
        <v>92.04</v>
      </c>
      <c r="J325">
        <v>23.38</v>
      </c>
      <c r="K325" t="s">
        <v>18</v>
      </c>
      <c r="L325">
        <v>5.5</v>
      </c>
      <c r="M325">
        <v>10</v>
      </c>
      <c r="N325" t="s">
        <v>19</v>
      </c>
      <c r="O325">
        <f t="shared" si="10"/>
        <v>415.42</v>
      </c>
      <c r="P325" t="str">
        <f t="shared" si="11"/>
        <v>July</v>
      </c>
    </row>
    <row r="326" spans="1:16" x14ac:dyDescent="0.25">
      <c r="A326" t="s">
        <v>358</v>
      </c>
      <c r="B326">
        <v>42</v>
      </c>
      <c r="C326" t="s">
        <v>15</v>
      </c>
      <c r="D326" t="s">
        <v>36</v>
      </c>
      <c r="E326" s="2">
        <v>45785</v>
      </c>
      <c r="F326" t="s">
        <v>29</v>
      </c>
      <c r="G326">
        <v>100</v>
      </c>
      <c r="H326">
        <v>3</v>
      </c>
      <c r="I326">
        <v>11.61</v>
      </c>
      <c r="J326">
        <v>13.95</v>
      </c>
      <c r="K326" t="s">
        <v>24</v>
      </c>
      <c r="L326">
        <v>6</v>
      </c>
      <c r="M326">
        <v>8</v>
      </c>
      <c r="N326" t="s">
        <v>19</v>
      </c>
      <c r="O326">
        <f t="shared" si="10"/>
        <v>325.56</v>
      </c>
      <c r="P326" t="str">
        <f t="shared" si="11"/>
        <v>May</v>
      </c>
    </row>
    <row r="327" spans="1:16" x14ac:dyDescent="0.25">
      <c r="A327" t="s">
        <v>359</v>
      </c>
      <c r="B327">
        <v>46</v>
      </c>
      <c r="C327" t="s">
        <v>15</v>
      </c>
      <c r="D327" t="s">
        <v>16</v>
      </c>
      <c r="E327" s="2">
        <v>45811</v>
      </c>
      <c r="F327" t="s">
        <v>17</v>
      </c>
      <c r="G327">
        <v>200</v>
      </c>
      <c r="H327">
        <v>1</v>
      </c>
      <c r="I327">
        <v>81.08</v>
      </c>
      <c r="J327">
        <v>19.989999999999998</v>
      </c>
      <c r="K327" t="s">
        <v>18</v>
      </c>
      <c r="L327">
        <v>7.6</v>
      </c>
      <c r="M327">
        <v>7</v>
      </c>
      <c r="N327" t="s">
        <v>19</v>
      </c>
      <c r="O327">
        <f t="shared" si="10"/>
        <v>301.07</v>
      </c>
      <c r="P327" t="str">
        <f t="shared" si="11"/>
        <v>June</v>
      </c>
    </row>
    <row r="328" spans="1:16" x14ac:dyDescent="0.25">
      <c r="A328" t="s">
        <v>360</v>
      </c>
      <c r="B328">
        <v>35</v>
      </c>
      <c r="C328" t="s">
        <v>21</v>
      </c>
      <c r="D328" t="s">
        <v>22</v>
      </c>
      <c r="E328" s="2">
        <v>45702</v>
      </c>
      <c r="F328" t="s">
        <v>23</v>
      </c>
      <c r="G328">
        <v>150</v>
      </c>
      <c r="H328">
        <v>4</v>
      </c>
      <c r="I328">
        <v>41.09</v>
      </c>
      <c r="J328">
        <v>23.48</v>
      </c>
      <c r="K328" t="s">
        <v>18</v>
      </c>
      <c r="L328">
        <v>6.1</v>
      </c>
      <c r="M328">
        <v>10</v>
      </c>
      <c r="N328" t="s">
        <v>30</v>
      </c>
      <c r="O328">
        <f t="shared" si="10"/>
        <v>664.57</v>
      </c>
      <c r="P328" t="str">
        <f t="shared" si="11"/>
        <v>February</v>
      </c>
    </row>
    <row r="329" spans="1:16" x14ac:dyDescent="0.25">
      <c r="A329" t="s">
        <v>361</v>
      </c>
      <c r="B329">
        <v>63</v>
      </c>
      <c r="C329" t="s">
        <v>15</v>
      </c>
      <c r="D329" t="s">
        <v>27</v>
      </c>
      <c r="E329" s="2">
        <v>45661</v>
      </c>
      <c r="F329" t="s">
        <v>23</v>
      </c>
      <c r="G329">
        <v>150</v>
      </c>
      <c r="H329">
        <v>3</v>
      </c>
      <c r="I329">
        <v>70.52</v>
      </c>
      <c r="J329">
        <v>2.79</v>
      </c>
      <c r="K329" t="s">
        <v>18</v>
      </c>
      <c r="L329">
        <v>10</v>
      </c>
      <c r="M329">
        <v>8</v>
      </c>
      <c r="N329" t="s">
        <v>25</v>
      </c>
      <c r="O329">
        <f t="shared" si="10"/>
        <v>523.30999999999995</v>
      </c>
      <c r="P329" t="str">
        <f t="shared" si="11"/>
        <v>January</v>
      </c>
    </row>
    <row r="330" spans="1:16" x14ac:dyDescent="0.25">
      <c r="A330" t="s">
        <v>362</v>
      </c>
      <c r="B330">
        <v>35</v>
      </c>
      <c r="C330" t="s">
        <v>15</v>
      </c>
      <c r="D330" t="s">
        <v>36</v>
      </c>
      <c r="E330" s="2">
        <v>45895</v>
      </c>
      <c r="F330" t="s">
        <v>23</v>
      </c>
      <c r="G330">
        <v>150</v>
      </c>
      <c r="H330">
        <v>4</v>
      </c>
      <c r="I330">
        <v>137.36850000000001</v>
      </c>
      <c r="J330">
        <v>6.44</v>
      </c>
      <c r="K330" t="s">
        <v>24</v>
      </c>
      <c r="L330">
        <v>8.6999999999999993</v>
      </c>
      <c r="M330">
        <v>7</v>
      </c>
      <c r="N330" t="s">
        <v>30</v>
      </c>
      <c r="O330">
        <f t="shared" si="10"/>
        <v>743.80850000000009</v>
      </c>
      <c r="P330" t="str">
        <f t="shared" si="11"/>
        <v>August</v>
      </c>
    </row>
    <row r="331" spans="1:16" x14ac:dyDescent="0.25">
      <c r="A331" t="s">
        <v>363</v>
      </c>
      <c r="B331">
        <v>19</v>
      </c>
      <c r="C331" t="s">
        <v>15</v>
      </c>
      <c r="D331" t="s">
        <v>36</v>
      </c>
      <c r="E331" s="2">
        <v>45697</v>
      </c>
      <c r="F331" t="s">
        <v>41</v>
      </c>
      <c r="G331">
        <v>60</v>
      </c>
      <c r="H331">
        <v>1</v>
      </c>
      <c r="I331">
        <v>28.43</v>
      </c>
      <c r="J331">
        <v>28.39</v>
      </c>
      <c r="K331" t="s">
        <v>18</v>
      </c>
      <c r="L331">
        <v>6.8</v>
      </c>
      <c r="M331">
        <v>7</v>
      </c>
      <c r="N331" t="s">
        <v>34</v>
      </c>
      <c r="O331">
        <f t="shared" si="10"/>
        <v>116.82000000000001</v>
      </c>
      <c r="P331" t="str">
        <f t="shared" si="11"/>
        <v>February</v>
      </c>
    </row>
    <row r="332" spans="1:16" x14ac:dyDescent="0.25">
      <c r="A332" t="s">
        <v>364</v>
      </c>
      <c r="B332">
        <v>52</v>
      </c>
      <c r="C332" t="s">
        <v>21</v>
      </c>
      <c r="D332" t="s">
        <v>22</v>
      </c>
      <c r="E332" s="2">
        <v>45907</v>
      </c>
      <c r="F332" t="s">
        <v>23</v>
      </c>
      <c r="G332">
        <v>150</v>
      </c>
      <c r="H332">
        <v>3</v>
      </c>
      <c r="I332">
        <v>92.51</v>
      </c>
      <c r="J332">
        <v>21.74</v>
      </c>
      <c r="K332" t="s">
        <v>24</v>
      </c>
      <c r="L332">
        <v>9.8000000000000007</v>
      </c>
      <c r="M332">
        <v>9</v>
      </c>
      <c r="N332" t="s">
        <v>19</v>
      </c>
      <c r="O332">
        <f t="shared" si="10"/>
        <v>564.25</v>
      </c>
      <c r="P332" t="str">
        <f t="shared" si="11"/>
        <v>September</v>
      </c>
    </row>
    <row r="333" spans="1:16" x14ac:dyDescent="0.25">
      <c r="A333" t="s">
        <v>365</v>
      </c>
      <c r="B333">
        <v>33</v>
      </c>
      <c r="C333" t="s">
        <v>38</v>
      </c>
      <c r="D333" t="s">
        <v>22</v>
      </c>
      <c r="E333" s="2">
        <v>45744</v>
      </c>
      <c r="F333" t="s">
        <v>29</v>
      </c>
      <c r="G333">
        <v>100</v>
      </c>
      <c r="H333">
        <v>1</v>
      </c>
      <c r="I333">
        <v>50.75</v>
      </c>
      <c r="J333">
        <v>29.95</v>
      </c>
      <c r="K333" t="s">
        <v>18</v>
      </c>
      <c r="L333">
        <v>9.5</v>
      </c>
      <c r="M333">
        <v>7</v>
      </c>
      <c r="N333" t="s">
        <v>30</v>
      </c>
      <c r="O333">
        <f t="shared" si="10"/>
        <v>180.7</v>
      </c>
      <c r="P333" t="str">
        <f t="shared" si="11"/>
        <v>March</v>
      </c>
    </row>
    <row r="334" spans="1:16" x14ac:dyDescent="0.25">
      <c r="A334" t="s">
        <v>366</v>
      </c>
      <c r="B334">
        <v>58</v>
      </c>
      <c r="C334" t="s">
        <v>21</v>
      </c>
      <c r="D334" t="s">
        <v>27</v>
      </c>
      <c r="E334" s="2">
        <v>45717</v>
      </c>
      <c r="F334" t="s">
        <v>23</v>
      </c>
      <c r="G334">
        <v>150</v>
      </c>
      <c r="H334">
        <v>4</v>
      </c>
      <c r="I334">
        <v>59.43</v>
      </c>
      <c r="J334">
        <v>8.6199999999999992</v>
      </c>
      <c r="K334" t="s">
        <v>24</v>
      </c>
      <c r="L334">
        <v>8.4</v>
      </c>
      <c r="M334">
        <v>7</v>
      </c>
      <c r="N334" t="s">
        <v>19</v>
      </c>
      <c r="O334">
        <f t="shared" si="10"/>
        <v>668.05</v>
      </c>
      <c r="P334" t="str">
        <f t="shared" si="11"/>
        <v>March</v>
      </c>
    </row>
    <row r="335" spans="1:16" x14ac:dyDescent="0.25">
      <c r="A335" t="s">
        <v>367</v>
      </c>
      <c r="B335">
        <v>53</v>
      </c>
      <c r="C335" t="s">
        <v>21</v>
      </c>
      <c r="D335" t="s">
        <v>27</v>
      </c>
      <c r="E335" s="2">
        <v>45811</v>
      </c>
      <c r="F335" t="s">
        <v>17</v>
      </c>
      <c r="G335">
        <v>200</v>
      </c>
      <c r="H335">
        <v>4</v>
      </c>
      <c r="I335">
        <v>13.2</v>
      </c>
      <c r="J335">
        <v>14.63</v>
      </c>
      <c r="K335" t="s">
        <v>24</v>
      </c>
      <c r="L335">
        <v>7.9</v>
      </c>
      <c r="M335">
        <v>7</v>
      </c>
      <c r="N335" t="s">
        <v>19</v>
      </c>
      <c r="O335">
        <f t="shared" si="10"/>
        <v>827.83</v>
      </c>
      <c r="P335" t="str">
        <f t="shared" si="11"/>
        <v>June</v>
      </c>
    </row>
    <row r="336" spans="1:16" x14ac:dyDescent="0.25">
      <c r="A336" t="s">
        <v>368</v>
      </c>
      <c r="B336">
        <v>50</v>
      </c>
      <c r="C336" t="s">
        <v>21</v>
      </c>
      <c r="D336" t="s">
        <v>22</v>
      </c>
      <c r="E336" s="2">
        <v>45690</v>
      </c>
      <c r="F336" t="s">
        <v>29</v>
      </c>
      <c r="G336">
        <v>100</v>
      </c>
      <c r="H336">
        <v>1</v>
      </c>
      <c r="I336">
        <v>42.05</v>
      </c>
      <c r="J336">
        <v>15.2</v>
      </c>
      <c r="K336" t="s">
        <v>18</v>
      </c>
      <c r="L336">
        <v>7.6</v>
      </c>
      <c r="M336">
        <v>10</v>
      </c>
      <c r="N336" t="s">
        <v>19</v>
      </c>
      <c r="O336">
        <f t="shared" si="10"/>
        <v>157.25</v>
      </c>
      <c r="P336" t="str">
        <f t="shared" si="11"/>
        <v>February</v>
      </c>
    </row>
    <row r="337" spans="1:16" x14ac:dyDescent="0.25">
      <c r="A337" t="s">
        <v>369</v>
      </c>
      <c r="B337">
        <v>21</v>
      </c>
      <c r="C337" t="s">
        <v>21</v>
      </c>
      <c r="D337" t="s">
        <v>40</v>
      </c>
      <c r="E337" s="2">
        <v>45696</v>
      </c>
      <c r="F337" t="s">
        <v>23</v>
      </c>
      <c r="G337">
        <v>150</v>
      </c>
      <c r="H337">
        <v>2</v>
      </c>
      <c r="I337">
        <v>20.05</v>
      </c>
      <c r="J337">
        <v>20.39</v>
      </c>
      <c r="K337" t="s">
        <v>18</v>
      </c>
      <c r="L337">
        <v>7.2</v>
      </c>
      <c r="M337">
        <v>8</v>
      </c>
      <c r="N337" t="s">
        <v>34</v>
      </c>
      <c r="O337">
        <f t="shared" si="10"/>
        <v>340.44</v>
      </c>
      <c r="P337" t="str">
        <f t="shared" si="11"/>
        <v>February</v>
      </c>
    </row>
    <row r="338" spans="1:16" x14ac:dyDescent="0.25">
      <c r="A338" t="s">
        <v>370</v>
      </c>
      <c r="B338">
        <v>50</v>
      </c>
      <c r="C338" t="s">
        <v>15</v>
      </c>
      <c r="D338" t="s">
        <v>36</v>
      </c>
      <c r="E338" s="2">
        <v>45883</v>
      </c>
      <c r="F338" t="s">
        <v>23</v>
      </c>
      <c r="G338">
        <v>150</v>
      </c>
      <c r="H338">
        <v>3</v>
      </c>
      <c r="I338">
        <v>96.03</v>
      </c>
      <c r="J338">
        <v>20.02</v>
      </c>
      <c r="K338" t="s">
        <v>18</v>
      </c>
      <c r="L338">
        <v>6</v>
      </c>
      <c r="M338">
        <v>7</v>
      </c>
      <c r="N338" t="s">
        <v>19</v>
      </c>
      <c r="O338">
        <f t="shared" si="10"/>
        <v>566.04999999999995</v>
      </c>
      <c r="P338" t="str">
        <f t="shared" si="11"/>
        <v>August</v>
      </c>
    </row>
    <row r="339" spans="1:16" x14ac:dyDescent="0.25">
      <c r="A339" t="s">
        <v>371</v>
      </c>
      <c r="B339">
        <v>31</v>
      </c>
      <c r="C339" t="s">
        <v>15</v>
      </c>
      <c r="D339" t="s">
        <v>52</v>
      </c>
      <c r="E339" s="2">
        <v>45678</v>
      </c>
      <c r="F339" t="s">
        <v>17</v>
      </c>
      <c r="G339">
        <v>200</v>
      </c>
      <c r="H339">
        <v>4</v>
      </c>
      <c r="I339">
        <v>60.95</v>
      </c>
      <c r="J339">
        <v>26.98</v>
      </c>
      <c r="K339" t="s">
        <v>24</v>
      </c>
      <c r="L339">
        <v>10</v>
      </c>
      <c r="M339">
        <v>7</v>
      </c>
      <c r="N339" t="s">
        <v>30</v>
      </c>
      <c r="O339">
        <f t="shared" si="10"/>
        <v>887.93000000000006</v>
      </c>
      <c r="P339" t="str">
        <f t="shared" si="11"/>
        <v>January</v>
      </c>
    </row>
    <row r="340" spans="1:16" x14ac:dyDescent="0.25">
      <c r="A340" t="s">
        <v>372</v>
      </c>
      <c r="B340">
        <v>38</v>
      </c>
      <c r="C340" t="s">
        <v>15</v>
      </c>
      <c r="D340" t="s">
        <v>27</v>
      </c>
      <c r="E340" s="2">
        <v>45679</v>
      </c>
      <c r="F340" t="s">
        <v>23</v>
      </c>
      <c r="G340">
        <v>150</v>
      </c>
      <c r="H340">
        <v>4</v>
      </c>
      <c r="I340">
        <v>83.67</v>
      </c>
      <c r="J340">
        <v>14.69</v>
      </c>
      <c r="K340" t="s">
        <v>18</v>
      </c>
      <c r="L340">
        <v>7.2</v>
      </c>
      <c r="M340">
        <v>9</v>
      </c>
      <c r="N340" t="s">
        <v>30</v>
      </c>
      <c r="O340">
        <f t="shared" si="10"/>
        <v>698.36</v>
      </c>
      <c r="P340" t="str">
        <f t="shared" si="11"/>
        <v>January</v>
      </c>
    </row>
    <row r="341" spans="1:16" x14ac:dyDescent="0.25">
      <c r="A341" t="s">
        <v>373</v>
      </c>
      <c r="B341">
        <v>65</v>
      </c>
      <c r="C341" t="s">
        <v>15</v>
      </c>
      <c r="D341" t="s">
        <v>27</v>
      </c>
      <c r="E341" s="2">
        <v>45809</v>
      </c>
      <c r="F341" t="s">
        <v>41</v>
      </c>
      <c r="G341">
        <v>60</v>
      </c>
      <c r="H341">
        <v>3</v>
      </c>
      <c r="I341">
        <v>28.84</v>
      </c>
      <c r="J341">
        <v>25.22</v>
      </c>
      <c r="K341" t="s">
        <v>18</v>
      </c>
      <c r="L341">
        <v>8</v>
      </c>
      <c r="M341">
        <v>9</v>
      </c>
      <c r="N341" t="s">
        <v>25</v>
      </c>
      <c r="O341">
        <f t="shared" si="10"/>
        <v>234.06</v>
      </c>
      <c r="P341" t="str">
        <f t="shared" si="11"/>
        <v>June</v>
      </c>
    </row>
    <row r="342" spans="1:16" x14ac:dyDescent="0.25">
      <c r="A342" t="s">
        <v>374</v>
      </c>
      <c r="B342">
        <v>37</v>
      </c>
      <c r="C342" t="s">
        <v>15</v>
      </c>
      <c r="D342" t="s">
        <v>22</v>
      </c>
      <c r="E342" s="2">
        <v>45871</v>
      </c>
      <c r="F342" t="s">
        <v>23</v>
      </c>
      <c r="G342">
        <v>150</v>
      </c>
      <c r="H342">
        <v>1</v>
      </c>
      <c r="I342">
        <v>37.74</v>
      </c>
      <c r="J342">
        <v>27.95</v>
      </c>
      <c r="K342" t="s">
        <v>24</v>
      </c>
      <c r="L342">
        <v>6.6</v>
      </c>
      <c r="M342">
        <v>7</v>
      </c>
      <c r="N342" t="s">
        <v>30</v>
      </c>
      <c r="O342">
        <f t="shared" si="10"/>
        <v>215.69</v>
      </c>
      <c r="P342" t="str">
        <f t="shared" si="11"/>
        <v>August</v>
      </c>
    </row>
    <row r="343" spans="1:16" x14ac:dyDescent="0.25">
      <c r="A343" t="s">
        <v>375</v>
      </c>
      <c r="B343">
        <v>25</v>
      </c>
      <c r="C343" t="s">
        <v>21</v>
      </c>
      <c r="D343" t="s">
        <v>16</v>
      </c>
      <c r="E343" s="2">
        <v>45772</v>
      </c>
      <c r="F343" t="s">
        <v>23</v>
      </c>
      <c r="G343">
        <v>150</v>
      </c>
      <c r="H343">
        <v>1</v>
      </c>
      <c r="I343">
        <v>106.29</v>
      </c>
      <c r="J343">
        <v>14.61</v>
      </c>
      <c r="K343" t="s">
        <v>24</v>
      </c>
      <c r="L343">
        <v>7.6</v>
      </c>
      <c r="M343">
        <v>8</v>
      </c>
      <c r="N343" t="s">
        <v>34</v>
      </c>
      <c r="O343">
        <f t="shared" si="10"/>
        <v>270.90000000000003</v>
      </c>
      <c r="P343" t="str">
        <f t="shared" si="11"/>
        <v>April</v>
      </c>
    </row>
    <row r="344" spans="1:16" x14ac:dyDescent="0.25">
      <c r="A344" t="s">
        <v>376</v>
      </c>
      <c r="B344">
        <v>24</v>
      </c>
      <c r="C344" t="s">
        <v>15</v>
      </c>
      <c r="D344" t="s">
        <v>52</v>
      </c>
      <c r="E344" s="2">
        <v>45822</v>
      </c>
      <c r="F344" t="s">
        <v>29</v>
      </c>
      <c r="G344">
        <v>100</v>
      </c>
      <c r="H344">
        <v>1</v>
      </c>
      <c r="I344">
        <v>45.71</v>
      </c>
      <c r="J344">
        <v>11.31</v>
      </c>
      <c r="K344" t="s">
        <v>18</v>
      </c>
      <c r="L344">
        <v>10</v>
      </c>
      <c r="M344">
        <v>8</v>
      </c>
      <c r="N344" t="s">
        <v>34</v>
      </c>
      <c r="O344">
        <f t="shared" si="10"/>
        <v>157.02000000000001</v>
      </c>
      <c r="P344" t="str">
        <f t="shared" si="11"/>
        <v>June</v>
      </c>
    </row>
    <row r="345" spans="1:16" x14ac:dyDescent="0.25">
      <c r="A345" t="s">
        <v>377</v>
      </c>
      <c r="B345">
        <v>20</v>
      </c>
      <c r="C345" t="s">
        <v>21</v>
      </c>
      <c r="D345" t="s">
        <v>52</v>
      </c>
      <c r="E345" s="2">
        <v>45703</v>
      </c>
      <c r="F345" t="s">
        <v>23</v>
      </c>
      <c r="G345">
        <v>150</v>
      </c>
      <c r="H345">
        <v>2</v>
      </c>
      <c r="I345">
        <v>36.56</v>
      </c>
      <c r="J345">
        <v>16.61</v>
      </c>
      <c r="K345" t="s">
        <v>18</v>
      </c>
      <c r="L345">
        <v>6.9</v>
      </c>
      <c r="M345">
        <v>7</v>
      </c>
      <c r="N345" t="s">
        <v>34</v>
      </c>
      <c r="O345">
        <f t="shared" si="10"/>
        <v>353.17</v>
      </c>
      <c r="P345" t="str">
        <f t="shared" si="11"/>
        <v>February</v>
      </c>
    </row>
    <row r="346" spans="1:16" x14ac:dyDescent="0.25">
      <c r="A346" t="s">
        <v>378</v>
      </c>
      <c r="B346">
        <v>34</v>
      </c>
      <c r="C346" t="s">
        <v>21</v>
      </c>
      <c r="D346" t="s">
        <v>27</v>
      </c>
      <c r="E346" s="2">
        <v>45704</v>
      </c>
      <c r="F346" t="s">
        <v>41</v>
      </c>
      <c r="G346">
        <v>60</v>
      </c>
      <c r="H346">
        <v>2</v>
      </c>
      <c r="I346">
        <v>96.8</v>
      </c>
      <c r="J346">
        <v>21.93</v>
      </c>
      <c r="K346" t="s">
        <v>18</v>
      </c>
      <c r="L346">
        <v>10</v>
      </c>
      <c r="M346">
        <v>6</v>
      </c>
      <c r="N346" t="s">
        <v>30</v>
      </c>
      <c r="O346">
        <f t="shared" si="10"/>
        <v>238.73000000000002</v>
      </c>
      <c r="P346" t="str">
        <f t="shared" si="11"/>
        <v>February</v>
      </c>
    </row>
    <row r="347" spans="1:16" x14ac:dyDescent="0.25">
      <c r="A347" t="s">
        <v>379</v>
      </c>
      <c r="B347">
        <v>50</v>
      </c>
      <c r="C347" t="s">
        <v>15</v>
      </c>
      <c r="D347" t="s">
        <v>40</v>
      </c>
      <c r="E347" s="2">
        <v>45784</v>
      </c>
      <c r="F347" t="s">
        <v>29</v>
      </c>
      <c r="G347">
        <v>100</v>
      </c>
      <c r="H347">
        <v>4</v>
      </c>
      <c r="I347">
        <v>29.4</v>
      </c>
      <c r="J347">
        <v>46.159499999999987</v>
      </c>
      <c r="K347" t="s">
        <v>18</v>
      </c>
      <c r="L347">
        <v>8</v>
      </c>
      <c r="M347">
        <v>9</v>
      </c>
      <c r="N347" t="s">
        <v>19</v>
      </c>
      <c r="O347">
        <f t="shared" si="10"/>
        <v>475.55949999999996</v>
      </c>
      <c r="P347" t="str">
        <f t="shared" si="11"/>
        <v>May</v>
      </c>
    </row>
    <row r="348" spans="1:16" x14ac:dyDescent="0.25">
      <c r="A348" t="s">
        <v>380</v>
      </c>
      <c r="B348">
        <v>65</v>
      </c>
      <c r="C348" t="s">
        <v>21</v>
      </c>
      <c r="D348" t="s">
        <v>16</v>
      </c>
      <c r="E348" s="2">
        <v>45738</v>
      </c>
      <c r="F348" t="s">
        <v>29</v>
      </c>
      <c r="G348">
        <v>100</v>
      </c>
      <c r="H348">
        <v>1</v>
      </c>
      <c r="I348">
        <v>38.549999999999997</v>
      </c>
      <c r="J348">
        <v>17.18</v>
      </c>
      <c r="K348" t="s">
        <v>18</v>
      </c>
      <c r="L348">
        <v>9</v>
      </c>
      <c r="M348">
        <v>7</v>
      </c>
      <c r="N348" t="s">
        <v>25</v>
      </c>
      <c r="O348">
        <f t="shared" si="10"/>
        <v>155.73000000000002</v>
      </c>
      <c r="P348" t="str">
        <f t="shared" si="11"/>
        <v>March</v>
      </c>
    </row>
    <row r="349" spans="1:16" x14ac:dyDescent="0.25">
      <c r="A349" t="s">
        <v>381</v>
      </c>
      <c r="B349">
        <v>29</v>
      </c>
      <c r="C349" t="s">
        <v>21</v>
      </c>
      <c r="D349" t="s">
        <v>52</v>
      </c>
      <c r="E349" s="2">
        <v>45871</v>
      </c>
      <c r="F349" t="s">
        <v>29</v>
      </c>
      <c r="G349">
        <v>100</v>
      </c>
      <c r="H349">
        <v>3</v>
      </c>
      <c r="I349">
        <v>55.84</v>
      </c>
      <c r="J349">
        <v>8.8699999999999992</v>
      </c>
      <c r="K349" t="s">
        <v>18</v>
      </c>
      <c r="L349">
        <v>9.9</v>
      </c>
      <c r="M349">
        <v>9</v>
      </c>
      <c r="N349" t="s">
        <v>34</v>
      </c>
      <c r="O349">
        <f t="shared" si="10"/>
        <v>364.71000000000004</v>
      </c>
      <c r="P349" t="str">
        <f t="shared" si="11"/>
        <v>August</v>
      </c>
    </row>
    <row r="350" spans="1:16" x14ac:dyDescent="0.25">
      <c r="A350" t="s">
        <v>382</v>
      </c>
      <c r="B350">
        <v>68</v>
      </c>
      <c r="C350" t="s">
        <v>15</v>
      </c>
      <c r="D350" t="s">
        <v>27</v>
      </c>
      <c r="E350" s="2">
        <v>45760</v>
      </c>
      <c r="F350" t="s">
        <v>23</v>
      </c>
      <c r="G350">
        <v>150</v>
      </c>
      <c r="H350">
        <v>4</v>
      </c>
      <c r="I350">
        <v>77.88</v>
      </c>
      <c r="J350">
        <v>1.83</v>
      </c>
      <c r="K350" t="s">
        <v>18</v>
      </c>
      <c r="L350">
        <v>8.4</v>
      </c>
      <c r="M350">
        <v>9</v>
      </c>
      <c r="N350" t="s">
        <v>25</v>
      </c>
      <c r="O350">
        <f t="shared" si="10"/>
        <v>679.71</v>
      </c>
      <c r="P350" t="str">
        <f t="shared" si="11"/>
        <v>April</v>
      </c>
    </row>
    <row r="351" spans="1:16" x14ac:dyDescent="0.25">
      <c r="A351" t="s">
        <v>383</v>
      </c>
      <c r="B351">
        <v>39</v>
      </c>
      <c r="C351" t="s">
        <v>21</v>
      </c>
      <c r="D351" t="s">
        <v>52</v>
      </c>
      <c r="E351" s="2">
        <v>45740</v>
      </c>
      <c r="F351" t="s">
        <v>29</v>
      </c>
      <c r="G351">
        <v>100</v>
      </c>
      <c r="H351">
        <v>3</v>
      </c>
      <c r="I351">
        <v>47.84</v>
      </c>
      <c r="J351">
        <v>27.8</v>
      </c>
      <c r="K351" t="s">
        <v>24</v>
      </c>
      <c r="L351">
        <v>7.5</v>
      </c>
      <c r="M351">
        <v>8</v>
      </c>
      <c r="N351" t="s">
        <v>30</v>
      </c>
      <c r="O351">
        <f t="shared" si="10"/>
        <v>375.64000000000004</v>
      </c>
      <c r="P351" t="str">
        <f t="shared" si="11"/>
        <v>March</v>
      </c>
    </row>
    <row r="352" spans="1:16" x14ac:dyDescent="0.25">
      <c r="A352" t="s">
        <v>384</v>
      </c>
      <c r="B352">
        <v>39</v>
      </c>
      <c r="C352" t="s">
        <v>21</v>
      </c>
      <c r="D352" t="s">
        <v>33</v>
      </c>
      <c r="E352" s="2">
        <v>45659</v>
      </c>
      <c r="F352" t="s">
        <v>23</v>
      </c>
      <c r="G352">
        <v>150</v>
      </c>
      <c r="H352">
        <v>4</v>
      </c>
      <c r="I352">
        <v>14.62</v>
      </c>
      <c r="J352">
        <v>4.6100000000000003</v>
      </c>
      <c r="K352" t="s">
        <v>18</v>
      </c>
      <c r="L352">
        <v>7.7</v>
      </c>
      <c r="M352">
        <v>7</v>
      </c>
      <c r="N352" t="s">
        <v>30</v>
      </c>
      <c r="O352">
        <f t="shared" si="10"/>
        <v>619.23</v>
      </c>
      <c r="P352" t="str">
        <f t="shared" si="11"/>
        <v>January</v>
      </c>
    </row>
    <row r="353" spans="1:16" x14ac:dyDescent="0.25">
      <c r="A353" t="s">
        <v>385</v>
      </c>
      <c r="B353">
        <v>63</v>
      </c>
      <c r="C353" t="s">
        <v>21</v>
      </c>
      <c r="D353" t="s">
        <v>16</v>
      </c>
      <c r="E353" s="2">
        <v>45680</v>
      </c>
      <c r="F353" t="s">
        <v>41</v>
      </c>
      <c r="G353">
        <v>60</v>
      </c>
      <c r="H353">
        <v>2</v>
      </c>
      <c r="I353">
        <v>86.47</v>
      </c>
      <c r="J353">
        <v>46.159499999999987</v>
      </c>
      <c r="K353" t="s">
        <v>18</v>
      </c>
      <c r="L353">
        <v>7.8</v>
      </c>
      <c r="M353">
        <v>7</v>
      </c>
      <c r="N353" t="s">
        <v>25</v>
      </c>
      <c r="O353">
        <f t="shared" si="10"/>
        <v>252.62949999999998</v>
      </c>
      <c r="P353" t="str">
        <f t="shared" si="11"/>
        <v>January</v>
      </c>
    </row>
    <row r="354" spans="1:16" x14ac:dyDescent="0.25">
      <c r="A354" t="s">
        <v>386</v>
      </c>
      <c r="B354">
        <v>47</v>
      </c>
      <c r="C354" t="s">
        <v>21</v>
      </c>
      <c r="D354" t="s">
        <v>16</v>
      </c>
      <c r="E354" s="2">
        <v>45794</v>
      </c>
      <c r="F354" t="s">
        <v>23</v>
      </c>
      <c r="G354">
        <v>150</v>
      </c>
      <c r="H354">
        <v>4</v>
      </c>
      <c r="I354">
        <v>124.19</v>
      </c>
      <c r="J354">
        <v>21.25</v>
      </c>
      <c r="K354" t="s">
        <v>18</v>
      </c>
      <c r="L354">
        <v>10</v>
      </c>
      <c r="M354">
        <v>6</v>
      </c>
      <c r="N354" t="s">
        <v>19</v>
      </c>
      <c r="O354">
        <f t="shared" si="10"/>
        <v>745.44</v>
      </c>
      <c r="P354" t="str">
        <f t="shared" si="11"/>
        <v>May</v>
      </c>
    </row>
    <row r="355" spans="1:16" x14ac:dyDescent="0.25">
      <c r="A355" t="s">
        <v>387</v>
      </c>
      <c r="B355">
        <v>55</v>
      </c>
      <c r="C355" t="s">
        <v>21</v>
      </c>
      <c r="D355" t="s">
        <v>33</v>
      </c>
      <c r="E355" s="2">
        <v>45694</v>
      </c>
      <c r="F355" t="s">
        <v>29</v>
      </c>
      <c r="G355">
        <v>100</v>
      </c>
      <c r="H355">
        <v>2</v>
      </c>
      <c r="I355">
        <v>35.71</v>
      </c>
      <c r="J355">
        <v>46.159499999999987</v>
      </c>
      <c r="K355" t="s">
        <v>18</v>
      </c>
      <c r="L355">
        <v>5.8</v>
      </c>
      <c r="M355">
        <v>7</v>
      </c>
      <c r="N355" t="s">
        <v>19</v>
      </c>
      <c r="O355">
        <f t="shared" si="10"/>
        <v>281.86950000000002</v>
      </c>
      <c r="P355" t="str">
        <f t="shared" si="11"/>
        <v>February</v>
      </c>
    </row>
    <row r="356" spans="1:16" x14ac:dyDescent="0.25">
      <c r="A356" t="s">
        <v>388</v>
      </c>
      <c r="B356">
        <v>55</v>
      </c>
      <c r="C356" t="s">
        <v>21</v>
      </c>
      <c r="D356" t="s">
        <v>36</v>
      </c>
      <c r="E356" s="2">
        <v>45755</v>
      </c>
      <c r="F356" t="s">
        <v>29</v>
      </c>
      <c r="G356">
        <v>100</v>
      </c>
      <c r="H356">
        <v>4</v>
      </c>
      <c r="I356">
        <v>45.1</v>
      </c>
      <c r="J356">
        <v>28.92</v>
      </c>
      <c r="K356" t="s">
        <v>18</v>
      </c>
      <c r="L356">
        <v>5.3</v>
      </c>
      <c r="M356">
        <v>9</v>
      </c>
      <c r="N356" t="s">
        <v>19</v>
      </c>
      <c r="O356">
        <f t="shared" si="10"/>
        <v>474.02000000000004</v>
      </c>
      <c r="P356" t="str">
        <f t="shared" si="11"/>
        <v>April</v>
      </c>
    </row>
    <row r="357" spans="1:16" x14ac:dyDescent="0.25">
      <c r="A357" t="s">
        <v>389</v>
      </c>
      <c r="B357">
        <v>62</v>
      </c>
      <c r="C357" t="s">
        <v>15</v>
      </c>
      <c r="D357" t="s">
        <v>33</v>
      </c>
      <c r="E357" s="2">
        <v>45788</v>
      </c>
      <c r="F357" t="s">
        <v>17</v>
      </c>
      <c r="G357">
        <v>200</v>
      </c>
      <c r="H357">
        <v>1</v>
      </c>
      <c r="I357">
        <v>22.33</v>
      </c>
      <c r="J357">
        <v>13.75</v>
      </c>
      <c r="K357" t="s">
        <v>18</v>
      </c>
      <c r="L357">
        <v>5.4</v>
      </c>
      <c r="M357">
        <v>10</v>
      </c>
      <c r="N357" t="s">
        <v>25</v>
      </c>
      <c r="O357">
        <f t="shared" si="10"/>
        <v>236.07999999999998</v>
      </c>
      <c r="P357" t="str">
        <f t="shared" si="11"/>
        <v>May</v>
      </c>
    </row>
    <row r="358" spans="1:16" x14ac:dyDescent="0.25">
      <c r="A358" t="s">
        <v>390</v>
      </c>
      <c r="B358">
        <v>68</v>
      </c>
      <c r="C358" t="s">
        <v>15</v>
      </c>
      <c r="D358" t="s">
        <v>22</v>
      </c>
      <c r="E358" s="2">
        <v>45765</v>
      </c>
      <c r="F358" t="s">
        <v>23</v>
      </c>
      <c r="G358">
        <v>150</v>
      </c>
      <c r="H358">
        <v>3</v>
      </c>
      <c r="I358">
        <v>57.66</v>
      </c>
      <c r="J358">
        <v>20.65</v>
      </c>
      <c r="K358" t="s">
        <v>24</v>
      </c>
      <c r="L358">
        <v>6.7</v>
      </c>
      <c r="M358">
        <v>10</v>
      </c>
      <c r="N358" t="s">
        <v>25</v>
      </c>
      <c r="O358">
        <f t="shared" si="10"/>
        <v>528.30999999999995</v>
      </c>
      <c r="P358" t="str">
        <f t="shared" si="11"/>
        <v>April</v>
      </c>
    </row>
    <row r="359" spans="1:16" x14ac:dyDescent="0.25">
      <c r="A359" t="s">
        <v>391</v>
      </c>
      <c r="B359">
        <v>25</v>
      </c>
      <c r="C359" t="s">
        <v>15</v>
      </c>
      <c r="D359" t="s">
        <v>22</v>
      </c>
      <c r="E359" s="2">
        <v>45760</v>
      </c>
      <c r="F359" t="s">
        <v>41</v>
      </c>
      <c r="G359">
        <v>60</v>
      </c>
      <c r="H359">
        <v>1</v>
      </c>
      <c r="I359">
        <v>26.43</v>
      </c>
      <c r="J359">
        <v>7.05</v>
      </c>
      <c r="K359" t="s">
        <v>18</v>
      </c>
      <c r="L359">
        <v>9.1</v>
      </c>
      <c r="M359">
        <v>8</v>
      </c>
      <c r="N359" t="s">
        <v>34</v>
      </c>
      <c r="O359">
        <f t="shared" si="10"/>
        <v>93.48</v>
      </c>
      <c r="P359" t="str">
        <f t="shared" si="11"/>
        <v>April</v>
      </c>
    </row>
    <row r="360" spans="1:16" x14ac:dyDescent="0.25">
      <c r="A360" t="s">
        <v>392</v>
      </c>
      <c r="B360">
        <v>44</v>
      </c>
      <c r="C360" t="s">
        <v>21</v>
      </c>
      <c r="D360" t="s">
        <v>27</v>
      </c>
      <c r="E360" s="2">
        <v>45817</v>
      </c>
      <c r="F360" t="s">
        <v>41</v>
      </c>
      <c r="G360">
        <v>60</v>
      </c>
      <c r="H360">
        <v>4</v>
      </c>
      <c r="I360">
        <v>137.36850000000001</v>
      </c>
      <c r="J360">
        <v>13.46</v>
      </c>
      <c r="K360" t="s">
        <v>18</v>
      </c>
      <c r="L360">
        <v>9.1</v>
      </c>
      <c r="M360">
        <v>10</v>
      </c>
      <c r="N360" t="s">
        <v>19</v>
      </c>
      <c r="O360">
        <f t="shared" si="10"/>
        <v>390.82850000000002</v>
      </c>
      <c r="P360" t="str">
        <f t="shared" si="11"/>
        <v>June</v>
      </c>
    </row>
    <row r="361" spans="1:16" x14ac:dyDescent="0.25">
      <c r="A361" t="s">
        <v>393</v>
      </c>
      <c r="B361">
        <v>44</v>
      </c>
      <c r="C361" t="s">
        <v>15</v>
      </c>
      <c r="D361" t="s">
        <v>16</v>
      </c>
      <c r="E361" s="2">
        <v>45812</v>
      </c>
      <c r="F361" t="s">
        <v>23</v>
      </c>
      <c r="G361">
        <v>150</v>
      </c>
      <c r="H361">
        <v>4</v>
      </c>
      <c r="I361">
        <v>43.32</v>
      </c>
      <c r="J361">
        <v>21.47</v>
      </c>
      <c r="K361" t="s">
        <v>24</v>
      </c>
      <c r="L361">
        <v>7.1</v>
      </c>
      <c r="M361">
        <v>8</v>
      </c>
      <c r="N361" t="s">
        <v>19</v>
      </c>
      <c r="O361">
        <f t="shared" si="10"/>
        <v>664.79000000000008</v>
      </c>
      <c r="P361" t="str">
        <f t="shared" si="11"/>
        <v>June</v>
      </c>
    </row>
    <row r="362" spans="1:16" x14ac:dyDescent="0.25">
      <c r="A362" t="s">
        <v>394</v>
      </c>
      <c r="B362">
        <v>51</v>
      </c>
      <c r="C362" t="s">
        <v>21</v>
      </c>
      <c r="D362" t="s">
        <v>36</v>
      </c>
      <c r="E362" s="2">
        <v>45752</v>
      </c>
      <c r="F362" t="s">
        <v>41</v>
      </c>
      <c r="G362">
        <v>60</v>
      </c>
      <c r="H362">
        <v>4</v>
      </c>
      <c r="I362">
        <v>39.04</v>
      </c>
      <c r="J362">
        <v>3.23</v>
      </c>
      <c r="K362" t="s">
        <v>18</v>
      </c>
      <c r="L362">
        <v>8</v>
      </c>
      <c r="M362">
        <v>6</v>
      </c>
      <c r="N362" t="s">
        <v>19</v>
      </c>
      <c r="O362">
        <f t="shared" si="10"/>
        <v>282.27000000000004</v>
      </c>
      <c r="P362" t="str">
        <f t="shared" si="11"/>
        <v>April</v>
      </c>
    </row>
    <row r="363" spans="1:16" x14ac:dyDescent="0.25">
      <c r="A363" t="s">
        <v>395</v>
      </c>
      <c r="B363">
        <v>38</v>
      </c>
      <c r="C363" t="s">
        <v>21</v>
      </c>
      <c r="D363" t="s">
        <v>36</v>
      </c>
      <c r="E363" s="2">
        <v>45768</v>
      </c>
      <c r="F363" t="s">
        <v>41</v>
      </c>
      <c r="G363">
        <v>60</v>
      </c>
      <c r="H363">
        <v>2</v>
      </c>
      <c r="I363">
        <v>42.33</v>
      </c>
      <c r="J363">
        <v>11.98</v>
      </c>
      <c r="K363" t="s">
        <v>24</v>
      </c>
      <c r="L363">
        <v>6.3</v>
      </c>
      <c r="M363">
        <v>10</v>
      </c>
      <c r="N363" t="s">
        <v>30</v>
      </c>
      <c r="O363">
        <f t="shared" si="10"/>
        <v>174.30999999999997</v>
      </c>
      <c r="P363" t="str">
        <f t="shared" si="11"/>
        <v>April</v>
      </c>
    </row>
    <row r="364" spans="1:16" x14ac:dyDescent="0.25">
      <c r="A364" t="s">
        <v>396</v>
      </c>
      <c r="B364">
        <v>47</v>
      </c>
      <c r="C364" t="s">
        <v>21</v>
      </c>
      <c r="D364" t="s">
        <v>52</v>
      </c>
      <c r="E364" s="2">
        <v>45702</v>
      </c>
      <c r="F364" t="s">
        <v>41</v>
      </c>
      <c r="G364">
        <v>60</v>
      </c>
      <c r="H364">
        <v>3</v>
      </c>
      <c r="I364">
        <v>29.07</v>
      </c>
      <c r="J364">
        <v>26.94</v>
      </c>
      <c r="K364" t="s">
        <v>18</v>
      </c>
      <c r="L364">
        <v>6.5</v>
      </c>
      <c r="M364">
        <v>9</v>
      </c>
      <c r="N364" t="s">
        <v>19</v>
      </c>
      <c r="O364">
        <f t="shared" si="10"/>
        <v>236.01</v>
      </c>
      <c r="P364" t="str">
        <f t="shared" si="11"/>
        <v>February</v>
      </c>
    </row>
    <row r="365" spans="1:16" x14ac:dyDescent="0.25">
      <c r="A365" t="s">
        <v>397</v>
      </c>
      <c r="B365">
        <v>50</v>
      </c>
      <c r="C365" t="s">
        <v>38</v>
      </c>
      <c r="D365" t="s">
        <v>52</v>
      </c>
      <c r="E365" s="2">
        <v>45809</v>
      </c>
      <c r="F365" t="s">
        <v>17</v>
      </c>
      <c r="G365">
        <v>200</v>
      </c>
      <c r="H365">
        <v>3</v>
      </c>
      <c r="I365">
        <v>63.56</v>
      </c>
      <c r="J365">
        <v>21.14</v>
      </c>
      <c r="K365" t="s">
        <v>24</v>
      </c>
      <c r="L365">
        <v>8.9</v>
      </c>
      <c r="M365">
        <v>6</v>
      </c>
      <c r="N365" t="s">
        <v>19</v>
      </c>
      <c r="O365">
        <f t="shared" si="10"/>
        <v>684.69999999999993</v>
      </c>
      <c r="P365" t="str">
        <f t="shared" si="11"/>
        <v>June</v>
      </c>
    </row>
    <row r="366" spans="1:16" x14ac:dyDescent="0.25">
      <c r="A366" t="s">
        <v>398</v>
      </c>
      <c r="B366">
        <v>45</v>
      </c>
      <c r="C366" t="s">
        <v>21</v>
      </c>
      <c r="D366" t="s">
        <v>33</v>
      </c>
      <c r="E366" s="2">
        <v>45770</v>
      </c>
      <c r="F366" t="s">
        <v>41</v>
      </c>
      <c r="G366">
        <v>60</v>
      </c>
      <c r="H366">
        <v>4</v>
      </c>
      <c r="I366">
        <v>41.85</v>
      </c>
      <c r="J366">
        <v>6.14</v>
      </c>
      <c r="K366" t="s">
        <v>18</v>
      </c>
      <c r="L366">
        <v>9.6</v>
      </c>
      <c r="M366">
        <v>10</v>
      </c>
      <c r="N366" t="s">
        <v>19</v>
      </c>
      <c r="O366">
        <f t="shared" si="10"/>
        <v>287.99</v>
      </c>
      <c r="P366" t="str">
        <f t="shared" si="11"/>
        <v>April</v>
      </c>
    </row>
    <row r="367" spans="1:16" x14ac:dyDescent="0.25">
      <c r="A367" t="s">
        <v>399</v>
      </c>
      <c r="B367">
        <v>64</v>
      </c>
      <c r="C367" t="s">
        <v>21</v>
      </c>
      <c r="D367" t="s">
        <v>36</v>
      </c>
      <c r="E367" s="2">
        <v>45769</v>
      </c>
      <c r="F367" t="s">
        <v>23</v>
      </c>
      <c r="G367">
        <v>150</v>
      </c>
      <c r="H367">
        <v>4</v>
      </c>
      <c r="I367">
        <v>98.9</v>
      </c>
      <c r="J367">
        <v>35.17</v>
      </c>
      <c r="K367" t="s">
        <v>24</v>
      </c>
      <c r="L367">
        <v>7.3</v>
      </c>
      <c r="M367">
        <v>7</v>
      </c>
      <c r="N367" t="s">
        <v>25</v>
      </c>
      <c r="O367">
        <f t="shared" si="10"/>
        <v>734.06999999999994</v>
      </c>
      <c r="P367" t="str">
        <f t="shared" si="11"/>
        <v>April</v>
      </c>
    </row>
    <row r="368" spans="1:16" x14ac:dyDescent="0.25">
      <c r="A368" t="s">
        <v>400</v>
      </c>
      <c r="B368">
        <v>50</v>
      </c>
      <c r="C368" t="s">
        <v>15</v>
      </c>
      <c r="D368" t="s">
        <v>33</v>
      </c>
      <c r="E368" s="2">
        <v>45904</v>
      </c>
      <c r="F368" t="s">
        <v>41</v>
      </c>
      <c r="G368">
        <v>60</v>
      </c>
      <c r="H368">
        <v>2</v>
      </c>
      <c r="I368">
        <v>63.36</v>
      </c>
      <c r="J368">
        <v>16.989999999999998</v>
      </c>
      <c r="K368" t="s">
        <v>24</v>
      </c>
      <c r="L368">
        <v>10</v>
      </c>
      <c r="M368">
        <v>7</v>
      </c>
      <c r="N368" t="s">
        <v>19</v>
      </c>
      <c r="O368">
        <f t="shared" si="10"/>
        <v>200.35000000000002</v>
      </c>
      <c r="P368" t="str">
        <f t="shared" si="11"/>
        <v>September</v>
      </c>
    </row>
    <row r="369" spans="1:16" x14ac:dyDescent="0.25">
      <c r="A369" t="s">
        <v>401</v>
      </c>
      <c r="B369">
        <v>22</v>
      </c>
      <c r="C369" t="s">
        <v>21</v>
      </c>
      <c r="D369" t="s">
        <v>33</v>
      </c>
      <c r="E369" s="2">
        <v>45765</v>
      </c>
      <c r="F369" t="s">
        <v>29</v>
      </c>
      <c r="G369">
        <v>100</v>
      </c>
      <c r="H369">
        <v>1</v>
      </c>
      <c r="I369">
        <v>81.099999999999994</v>
      </c>
      <c r="J369">
        <v>8.17</v>
      </c>
      <c r="K369" t="s">
        <v>18</v>
      </c>
      <c r="L369">
        <v>9.4</v>
      </c>
      <c r="M369">
        <v>10</v>
      </c>
      <c r="N369" t="s">
        <v>34</v>
      </c>
      <c r="O369">
        <f t="shared" si="10"/>
        <v>189.26999999999998</v>
      </c>
      <c r="P369" t="str">
        <f t="shared" si="11"/>
        <v>April</v>
      </c>
    </row>
    <row r="370" spans="1:16" x14ac:dyDescent="0.25">
      <c r="A370" t="s">
        <v>402</v>
      </c>
      <c r="B370">
        <v>65</v>
      </c>
      <c r="C370" t="s">
        <v>15</v>
      </c>
      <c r="D370" t="s">
        <v>52</v>
      </c>
      <c r="E370" s="2">
        <v>45676</v>
      </c>
      <c r="F370" t="s">
        <v>17</v>
      </c>
      <c r="G370">
        <v>200</v>
      </c>
      <c r="H370">
        <v>1</v>
      </c>
      <c r="I370">
        <v>87.29</v>
      </c>
      <c r="J370">
        <v>3.21</v>
      </c>
      <c r="K370" t="s">
        <v>18</v>
      </c>
      <c r="L370">
        <v>10</v>
      </c>
      <c r="M370">
        <v>10</v>
      </c>
      <c r="N370" t="s">
        <v>25</v>
      </c>
      <c r="O370">
        <f t="shared" si="10"/>
        <v>290.5</v>
      </c>
      <c r="P370" t="str">
        <f t="shared" si="11"/>
        <v>January</v>
      </c>
    </row>
    <row r="371" spans="1:16" x14ac:dyDescent="0.25">
      <c r="A371" t="s">
        <v>403</v>
      </c>
      <c r="B371">
        <v>36</v>
      </c>
      <c r="C371" t="s">
        <v>15</v>
      </c>
      <c r="D371" t="s">
        <v>16</v>
      </c>
      <c r="E371" s="2">
        <v>45726</v>
      </c>
      <c r="F371" t="s">
        <v>41</v>
      </c>
      <c r="G371">
        <v>60</v>
      </c>
      <c r="H371">
        <v>3</v>
      </c>
      <c r="I371">
        <v>123.91</v>
      </c>
      <c r="J371">
        <v>32.03</v>
      </c>
      <c r="K371" t="s">
        <v>24</v>
      </c>
      <c r="L371">
        <v>7.5</v>
      </c>
      <c r="M371">
        <v>7</v>
      </c>
      <c r="N371" t="s">
        <v>30</v>
      </c>
      <c r="O371">
        <f t="shared" si="10"/>
        <v>335.93999999999994</v>
      </c>
      <c r="P371" t="str">
        <f t="shared" si="11"/>
        <v>March</v>
      </c>
    </row>
    <row r="372" spans="1:16" x14ac:dyDescent="0.25">
      <c r="A372" t="s">
        <v>404</v>
      </c>
      <c r="B372">
        <v>21</v>
      </c>
      <c r="C372" t="s">
        <v>21</v>
      </c>
      <c r="D372" t="s">
        <v>33</v>
      </c>
      <c r="E372" s="2">
        <v>45753</v>
      </c>
      <c r="F372" t="s">
        <v>23</v>
      </c>
      <c r="G372">
        <v>150</v>
      </c>
      <c r="H372">
        <v>2</v>
      </c>
      <c r="I372">
        <v>37.43</v>
      </c>
      <c r="J372">
        <v>34.590000000000003</v>
      </c>
      <c r="K372" t="s">
        <v>18</v>
      </c>
      <c r="L372">
        <v>10</v>
      </c>
      <c r="M372">
        <v>10</v>
      </c>
      <c r="N372" t="s">
        <v>34</v>
      </c>
      <c r="O372">
        <f t="shared" si="10"/>
        <v>372.02</v>
      </c>
      <c r="P372" t="str">
        <f t="shared" si="11"/>
        <v>April</v>
      </c>
    </row>
    <row r="373" spans="1:16" x14ac:dyDescent="0.25">
      <c r="A373" t="s">
        <v>405</v>
      </c>
      <c r="B373">
        <v>52</v>
      </c>
      <c r="C373" t="s">
        <v>21</v>
      </c>
      <c r="D373" t="s">
        <v>40</v>
      </c>
      <c r="E373" s="2">
        <v>45873</v>
      </c>
      <c r="F373" t="s">
        <v>41</v>
      </c>
      <c r="G373">
        <v>60</v>
      </c>
      <c r="H373">
        <v>4</v>
      </c>
      <c r="I373">
        <v>30.89</v>
      </c>
      <c r="J373">
        <v>24.89</v>
      </c>
      <c r="K373" t="s">
        <v>18</v>
      </c>
      <c r="L373">
        <v>10</v>
      </c>
      <c r="M373">
        <v>9</v>
      </c>
      <c r="N373" t="s">
        <v>19</v>
      </c>
      <c r="O373">
        <f t="shared" si="10"/>
        <v>295.77999999999997</v>
      </c>
      <c r="P373" t="str">
        <f t="shared" si="11"/>
        <v>August</v>
      </c>
    </row>
    <row r="374" spans="1:16" x14ac:dyDescent="0.25">
      <c r="A374" t="s">
        <v>406</v>
      </c>
      <c r="B374">
        <v>66</v>
      </c>
      <c r="C374" t="s">
        <v>15</v>
      </c>
      <c r="D374" t="s">
        <v>16</v>
      </c>
      <c r="E374" s="2">
        <v>45662</v>
      </c>
      <c r="F374" t="s">
        <v>41</v>
      </c>
      <c r="G374">
        <v>60</v>
      </c>
      <c r="H374">
        <v>3</v>
      </c>
      <c r="I374">
        <v>35.44</v>
      </c>
      <c r="J374">
        <v>15.43</v>
      </c>
      <c r="K374" t="s">
        <v>18</v>
      </c>
      <c r="L374">
        <v>7.4</v>
      </c>
      <c r="M374">
        <v>7</v>
      </c>
      <c r="N374" t="s">
        <v>25</v>
      </c>
      <c r="O374">
        <f t="shared" si="10"/>
        <v>230.87</v>
      </c>
      <c r="P374" t="str">
        <f t="shared" si="11"/>
        <v>January</v>
      </c>
    </row>
    <row r="375" spans="1:16" x14ac:dyDescent="0.25">
      <c r="A375" t="s">
        <v>407</v>
      </c>
      <c r="B375">
        <v>34</v>
      </c>
      <c r="C375" t="s">
        <v>21</v>
      </c>
      <c r="D375" t="s">
        <v>36</v>
      </c>
      <c r="E375" s="2">
        <v>45758</v>
      </c>
      <c r="F375" t="s">
        <v>29</v>
      </c>
      <c r="G375">
        <v>100</v>
      </c>
      <c r="H375">
        <v>2</v>
      </c>
      <c r="I375">
        <v>55.04</v>
      </c>
      <c r="J375">
        <v>19.68</v>
      </c>
      <c r="K375" t="s">
        <v>24</v>
      </c>
      <c r="L375">
        <v>7.8</v>
      </c>
      <c r="M375">
        <v>8</v>
      </c>
      <c r="N375" t="s">
        <v>30</v>
      </c>
      <c r="O375">
        <f t="shared" si="10"/>
        <v>274.71999999999997</v>
      </c>
      <c r="P375" t="str">
        <f t="shared" si="11"/>
        <v>April</v>
      </c>
    </row>
    <row r="376" spans="1:16" x14ac:dyDescent="0.25">
      <c r="A376" t="s">
        <v>408</v>
      </c>
      <c r="B376">
        <v>61</v>
      </c>
      <c r="C376" t="s">
        <v>21</v>
      </c>
      <c r="D376" t="s">
        <v>36</v>
      </c>
      <c r="E376" s="2">
        <v>45808</v>
      </c>
      <c r="F376" t="s">
        <v>17</v>
      </c>
      <c r="G376">
        <v>200</v>
      </c>
      <c r="H376">
        <v>1</v>
      </c>
      <c r="I376">
        <v>67.900000000000006</v>
      </c>
      <c r="J376">
        <v>26.21</v>
      </c>
      <c r="K376" t="s">
        <v>18</v>
      </c>
      <c r="L376">
        <v>6.6</v>
      </c>
      <c r="M376">
        <v>10</v>
      </c>
      <c r="N376" t="s">
        <v>25</v>
      </c>
      <c r="O376">
        <f t="shared" si="10"/>
        <v>294.10999999999996</v>
      </c>
      <c r="P376" t="str">
        <f t="shared" si="11"/>
        <v>May</v>
      </c>
    </row>
    <row r="377" spans="1:16" x14ac:dyDescent="0.25">
      <c r="A377" t="s">
        <v>409</v>
      </c>
      <c r="B377">
        <v>45</v>
      </c>
      <c r="C377" t="s">
        <v>21</v>
      </c>
      <c r="D377" t="s">
        <v>33</v>
      </c>
      <c r="E377" s="2">
        <v>45838</v>
      </c>
      <c r="F377" t="s">
        <v>29</v>
      </c>
      <c r="G377">
        <v>100</v>
      </c>
      <c r="H377">
        <v>2</v>
      </c>
      <c r="I377">
        <v>25.02</v>
      </c>
      <c r="J377">
        <v>9.75</v>
      </c>
      <c r="K377" t="s">
        <v>18</v>
      </c>
      <c r="L377">
        <v>6.3</v>
      </c>
      <c r="M377">
        <v>6</v>
      </c>
      <c r="N377" t="s">
        <v>19</v>
      </c>
      <c r="O377">
        <f t="shared" si="10"/>
        <v>234.77</v>
      </c>
      <c r="P377" t="str">
        <f t="shared" si="11"/>
        <v>June</v>
      </c>
    </row>
    <row r="378" spans="1:16" x14ac:dyDescent="0.25">
      <c r="A378" t="s">
        <v>410</v>
      </c>
      <c r="B378">
        <v>47</v>
      </c>
      <c r="C378" t="s">
        <v>21</v>
      </c>
      <c r="D378" t="s">
        <v>16</v>
      </c>
      <c r="E378" s="2">
        <v>45848</v>
      </c>
      <c r="F378" t="s">
        <v>17</v>
      </c>
      <c r="G378">
        <v>200</v>
      </c>
      <c r="H378">
        <v>1</v>
      </c>
      <c r="I378">
        <v>33.369999999999997</v>
      </c>
      <c r="J378">
        <v>11.03</v>
      </c>
      <c r="K378" t="s">
        <v>18</v>
      </c>
      <c r="L378">
        <v>6.3</v>
      </c>
      <c r="M378">
        <v>10</v>
      </c>
      <c r="N378" t="s">
        <v>19</v>
      </c>
      <c r="O378">
        <f t="shared" si="10"/>
        <v>244.4</v>
      </c>
      <c r="P378" t="str">
        <f t="shared" si="11"/>
        <v>July</v>
      </c>
    </row>
    <row r="379" spans="1:16" x14ac:dyDescent="0.25">
      <c r="A379" t="s">
        <v>411</v>
      </c>
      <c r="B379">
        <v>46</v>
      </c>
      <c r="C379" t="s">
        <v>21</v>
      </c>
      <c r="D379" t="s">
        <v>52</v>
      </c>
      <c r="E379" s="2">
        <v>45799</v>
      </c>
      <c r="F379" t="s">
        <v>17</v>
      </c>
      <c r="G379">
        <v>200</v>
      </c>
      <c r="H379">
        <v>2</v>
      </c>
      <c r="I379">
        <v>68.099999999999994</v>
      </c>
      <c r="J379">
        <v>18.45</v>
      </c>
      <c r="K379" t="s">
        <v>24</v>
      </c>
      <c r="L379">
        <v>6.8</v>
      </c>
      <c r="M379">
        <v>9</v>
      </c>
      <c r="N379" t="s">
        <v>19</v>
      </c>
      <c r="O379">
        <f t="shared" si="10"/>
        <v>486.55</v>
      </c>
      <c r="P379" t="str">
        <f t="shared" si="11"/>
        <v>May</v>
      </c>
    </row>
    <row r="380" spans="1:16" x14ac:dyDescent="0.25">
      <c r="A380" t="s">
        <v>412</v>
      </c>
      <c r="B380">
        <v>63</v>
      </c>
      <c r="C380" t="s">
        <v>38</v>
      </c>
      <c r="D380" t="s">
        <v>52</v>
      </c>
      <c r="E380" s="2">
        <v>45660</v>
      </c>
      <c r="F380" t="s">
        <v>41</v>
      </c>
      <c r="G380">
        <v>60</v>
      </c>
      <c r="H380">
        <v>3</v>
      </c>
      <c r="I380">
        <v>61.77</v>
      </c>
      <c r="J380">
        <v>9.4</v>
      </c>
      <c r="K380" t="s">
        <v>24</v>
      </c>
      <c r="L380">
        <v>8.4</v>
      </c>
      <c r="M380">
        <v>9</v>
      </c>
      <c r="N380" t="s">
        <v>25</v>
      </c>
      <c r="O380">
        <f t="shared" si="10"/>
        <v>251.17000000000002</v>
      </c>
      <c r="P380" t="str">
        <f t="shared" si="11"/>
        <v>January</v>
      </c>
    </row>
    <row r="381" spans="1:16" x14ac:dyDescent="0.25">
      <c r="A381" t="s">
        <v>413</v>
      </c>
      <c r="B381">
        <v>23</v>
      </c>
      <c r="C381" t="s">
        <v>21</v>
      </c>
      <c r="D381" t="s">
        <v>22</v>
      </c>
      <c r="E381" s="2">
        <v>45705</v>
      </c>
      <c r="F381" t="s">
        <v>23</v>
      </c>
      <c r="G381">
        <v>150</v>
      </c>
      <c r="H381">
        <v>1</v>
      </c>
      <c r="I381">
        <v>39.56</v>
      </c>
      <c r="J381">
        <v>9.69</v>
      </c>
      <c r="K381" t="s">
        <v>24</v>
      </c>
      <c r="L381">
        <v>6.8</v>
      </c>
      <c r="M381">
        <v>8</v>
      </c>
      <c r="N381" t="s">
        <v>34</v>
      </c>
      <c r="O381">
        <f t="shared" si="10"/>
        <v>199.25</v>
      </c>
      <c r="P381" t="str">
        <f t="shared" si="11"/>
        <v>February</v>
      </c>
    </row>
    <row r="382" spans="1:16" x14ac:dyDescent="0.25">
      <c r="A382" t="s">
        <v>414</v>
      </c>
      <c r="B382">
        <v>52</v>
      </c>
      <c r="C382" t="s">
        <v>21</v>
      </c>
      <c r="D382" t="s">
        <v>36</v>
      </c>
      <c r="E382" s="2">
        <v>45784</v>
      </c>
      <c r="F382" t="s">
        <v>23</v>
      </c>
      <c r="G382">
        <v>150</v>
      </c>
      <c r="H382">
        <v>3</v>
      </c>
      <c r="I382">
        <v>14.84</v>
      </c>
      <c r="J382">
        <v>18.989999999999998</v>
      </c>
      <c r="K382" t="s">
        <v>18</v>
      </c>
      <c r="L382">
        <v>8.4</v>
      </c>
      <c r="M382">
        <v>10</v>
      </c>
      <c r="N382" t="s">
        <v>19</v>
      </c>
      <c r="O382">
        <f t="shared" si="10"/>
        <v>483.83</v>
      </c>
      <c r="P382" t="str">
        <f t="shared" si="11"/>
        <v>May</v>
      </c>
    </row>
    <row r="383" spans="1:16" x14ac:dyDescent="0.25">
      <c r="A383" t="s">
        <v>415</v>
      </c>
      <c r="B383">
        <v>58</v>
      </c>
      <c r="C383" t="s">
        <v>38</v>
      </c>
      <c r="D383" t="s">
        <v>27</v>
      </c>
      <c r="E383" s="2">
        <v>45676</v>
      </c>
      <c r="F383" t="s">
        <v>41</v>
      </c>
      <c r="G383">
        <v>60</v>
      </c>
      <c r="H383">
        <v>3</v>
      </c>
      <c r="I383">
        <v>61.07</v>
      </c>
      <c r="J383">
        <v>31.56</v>
      </c>
      <c r="K383" t="s">
        <v>24</v>
      </c>
      <c r="L383">
        <v>8.4</v>
      </c>
      <c r="M383">
        <v>10</v>
      </c>
      <c r="N383" t="s">
        <v>19</v>
      </c>
      <c r="O383">
        <f t="shared" si="10"/>
        <v>272.63</v>
      </c>
      <c r="P383" t="str">
        <f t="shared" si="11"/>
        <v>January</v>
      </c>
    </row>
    <row r="384" spans="1:16" x14ac:dyDescent="0.25">
      <c r="A384" t="s">
        <v>416</v>
      </c>
      <c r="B384">
        <v>54</v>
      </c>
      <c r="C384" t="s">
        <v>38</v>
      </c>
      <c r="D384" t="s">
        <v>22</v>
      </c>
      <c r="E384" s="2">
        <v>45898</v>
      </c>
      <c r="F384" t="s">
        <v>23</v>
      </c>
      <c r="G384">
        <v>150</v>
      </c>
      <c r="H384">
        <v>1</v>
      </c>
      <c r="I384">
        <v>85.07</v>
      </c>
      <c r="J384">
        <v>30.84</v>
      </c>
      <c r="K384" t="s">
        <v>18</v>
      </c>
      <c r="L384">
        <v>7.3</v>
      </c>
      <c r="M384">
        <v>7</v>
      </c>
      <c r="N384" t="s">
        <v>19</v>
      </c>
      <c r="O384">
        <f t="shared" si="10"/>
        <v>265.90999999999997</v>
      </c>
      <c r="P384" t="str">
        <f t="shared" si="11"/>
        <v>August</v>
      </c>
    </row>
    <row r="385" spans="1:16" x14ac:dyDescent="0.25">
      <c r="A385" t="s">
        <v>417</v>
      </c>
      <c r="B385">
        <v>41</v>
      </c>
      <c r="C385" t="s">
        <v>15</v>
      </c>
      <c r="D385" t="s">
        <v>52</v>
      </c>
      <c r="E385" s="2">
        <v>45863</v>
      </c>
      <c r="F385" t="s">
        <v>23</v>
      </c>
      <c r="G385">
        <v>150</v>
      </c>
      <c r="H385">
        <v>1</v>
      </c>
      <c r="I385">
        <v>82.21</v>
      </c>
      <c r="J385">
        <v>16.489999999999998</v>
      </c>
      <c r="K385" t="s">
        <v>18</v>
      </c>
      <c r="L385">
        <v>7.9</v>
      </c>
      <c r="M385">
        <v>9</v>
      </c>
      <c r="N385" t="s">
        <v>19</v>
      </c>
      <c r="O385">
        <f t="shared" si="10"/>
        <v>248.7</v>
      </c>
      <c r="P385" t="str">
        <f t="shared" si="11"/>
        <v>July</v>
      </c>
    </row>
    <row r="386" spans="1:16" x14ac:dyDescent="0.25">
      <c r="A386" t="s">
        <v>418</v>
      </c>
      <c r="B386">
        <v>46</v>
      </c>
      <c r="C386" t="s">
        <v>15</v>
      </c>
      <c r="D386" t="s">
        <v>16</v>
      </c>
      <c r="E386" s="2">
        <v>45818</v>
      </c>
      <c r="F386" t="s">
        <v>41</v>
      </c>
      <c r="G386">
        <v>60</v>
      </c>
      <c r="H386">
        <v>4</v>
      </c>
      <c r="I386">
        <v>44.7</v>
      </c>
      <c r="J386">
        <v>14.7</v>
      </c>
      <c r="K386" t="s">
        <v>18</v>
      </c>
      <c r="L386">
        <v>7.2</v>
      </c>
      <c r="M386">
        <v>10</v>
      </c>
      <c r="N386" t="s">
        <v>19</v>
      </c>
      <c r="O386">
        <f t="shared" si="10"/>
        <v>299.39999999999998</v>
      </c>
      <c r="P386" t="str">
        <f t="shared" si="11"/>
        <v>June</v>
      </c>
    </row>
    <row r="387" spans="1:16" x14ac:dyDescent="0.25">
      <c r="A387" t="s">
        <v>419</v>
      </c>
      <c r="B387">
        <v>66</v>
      </c>
      <c r="C387" t="s">
        <v>15</v>
      </c>
      <c r="D387" t="s">
        <v>52</v>
      </c>
      <c r="E387" s="2">
        <v>45797</v>
      </c>
      <c r="F387" t="s">
        <v>17</v>
      </c>
      <c r="G387">
        <v>200</v>
      </c>
      <c r="H387">
        <v>4</v>
      </c>
      <c r="I387">
        <v>25.99</v>
      </c>
      <c r="J387">
        <v>38.630000000000003</v>
      </c>
      <c r="K387" t="s">
        <v>18</v>
      </c>
      <c r="L387">
        <v>7.5</v>
      </c>
      <c r="M387">
        <v>7</v>
      </c>
      <c r="N387" t="s">
        <v>25</v>
      </c>
      <c r="O387">
        <f t="shared" ref="O387:O450" si="12">(G387*H387)+I387+J387</f>
        <v>864.62</v>
      </c>
      <c r="P387" t="str">
        <f t="shared" ref="P387:P450" si="13">TEXT(E387, "mmmm")</f>
        <v>May</v>
      </c>
    </row>
    <row r="388" spans="1:16" x14ac:dyDescent="0.25">
      <c r="A388" t="s">
        <v>420</v>
      </c>
      <c r="B388">
        <v>63</v>
      </c>
      <c r="C388" t="s">
        <v>15</v>
      </c>
      <c r="D388" t="s">
        <v>16</v>
      </c>
      <c r="E388" s="2">
        <v>45728</v>
      </c>
      <c r="F388" t="s">
        <v>41</v>
      </c>
      <c r="G388">
        <v>60</v>
      </c>
      <c r="H388">
        <v>4</v>
      </c>
      <c r="I388">
        <v>18.48</v>
      </c>
      <c r="J388">
        <v>23.81</v>
      </c>
      <c r="K388" t="s">
        <v>24</v>
      </c>
      <c r="L388">
        <v>6.8</v>
      </c>
      <c r="M388">
        <v>8</v>
      </c>
      <c r="N388" t="s">
        <v>25</v>
      </c>
      <c r="O388">
        <f t="shared" si="12"/>
        <v>282.29000000000002</v>
      </c>
      <c r="P388" t="str">
        <f t="shared" si="13"/>
        <v>March</v>
      </c>
    </row>
    <row r="389" spans="1:16" x14ac:dyDescent="0.25">
      <c r="A389" t="s">
        <v>421</v>
      </c>
      <c r="B389">
        <v>48</v>
      </c>
      <c r="C389" t="s">
        <v>21</v>
      </c>
      <c r="D389" t="s">
        <v>22</v>
      </c>
      <c r="E389" s="2">
        <v>45799</v>
      </c>
      <c r="F389" t="s">
        <v>41</v>
      </c>
      <c r="G389">
        <v>60</v>
      </c>
      <c r="H389">
        <v>3</v>
      </c>
      <c r="I389">
        <v>24.43</v>
      </c>
      <c r="J389">
        <v>5.08</v>
      </c>
      <c r="K389" t="s">
        <v>18</v>
      </c>
      <c r="L389">
        <v>8.1</v>
      </c>
      <c r="M389">
        <v>10</v>
      </c>
      <c r="N389" t="s">
        <v>19</v>
      </c>
      <c r="O389">
        <f t="shared" si="12"/>
        <v>209.51000000000002</v>
      </c>
      <c r="P389" t="str">
        <f t="shared" si="13"/>
        <v>May</v>
      </c>
    </row>
    <row r="390" spans="1:16" x14ac:dyDescent="0.25">
      <c r="A390" t="s">
        <v>422</v>
      </c>
      <c r="B390">
        <v>52</v>
      </c>
      <c r="C390" t="s">
        <v>21</v>
      </c>
      <c r="D390" t="s">
        <v>36</v>
      </c>
      <c r="E390" s="2">
        <v>45681</v>
      </c>
      <c r="F390" t="s">
        <v>41</v>
      </c>
      <c r="G390">
        <v>60</v>
      </c>
      <c r="H390">
        <v>3</v>
      </c>
      <c r="I390">
        <v>73.900000000000006</v>
      </c>
      <c r="J390">
        <v>6.91</v>
      </c>
      <c r="K390" t="s">
        <v>18</v>
      </c>
      <c r="L390">
        <v>7.1</v>
      </c>
      <c r="M390">
        <v>5</v>
      </c>
      <c r="N390" t="s">
        <v>19</v>
      </c>
      <c r="O390">
        <f t="shared" si="12"/>
        <v>260.81</v>
      </c>
      <c r="P390" t="str">
        <f t="shared" si="13"/>
        <v>January</v>
      </c>
    </row>
    <row r="391" spans="1:16" x14ac:dyDescent="0.25">
      <c r="A391" t="s">
        <v>423</v>
      </c>
      <c r="B391">
        <v>50</v>
      </c>
      <c r="C391" t="s">
        <v>21</v>
      </c>
      <c r="D391" t="s">
        <v>52</v>
      </c>
      <c r="E391" s="2">
        <v>45680</v>
      </c>
      <c r="F391" t="s">
        <v>29</v>
      </c>
      <c r="G391">
        <v>100</v>
      </c>
      <c r="H391">
        <v>4</v>
      </c>
      <c r="I391">
        <v>42.26</v>
      </c>
      <c r="J391">
        <v>25.41</v>
      </c>
      <c r="K391" t="s">
        <v>24</v>
      </c>
      <c r="L391">
        <v>6.3</v>
      </c>
      <c r="M391">
        <v>9</v>
      </c>
      <c r="N391" t="s">
        <v>19</v>
      </c>
      <c r="O391">
        <f t="shared" si="12"/>
        <v>467.67</v>
      </c>
      <c r="P391" t="str">
        <f t="shared" si="13"/>
        <v>January</v>
      </c>
    </row>
    <row r="392" spans="1:16" x14ac:dyDescent="0.25">
      <c r="A392" t="s">
        <v>424</v>
      </c>
      <c r="B392">
        <v>69</v>
      </c>
      <c r="C392" t="s">
        <v>15</v>
      </c>
      <c r="D392" t="s">
        <v>33</v>
      </c>
      <c r="E392" s="2">
        <v>45671</v>
      </c>
      <c r="F392" t="s">
        <v>23</v>
      </c>
      <c r="G392">
        <v>150</v>
      </c>
      <c r="H392">
        <v>3</v>
      </c>
      <c r="I392">
        <v>53</v>
      </c>
      <c r="J392">
        <v>29.93</v>
      </c>
      <c r="K392" t="s">
        <v>24</v>
      </c>
      <c r="L392">
        <v>8.9</v>
      </c>
      <c r="M392">
        <v>6</v>
      </c>
      <c r="N392" t="s">
        <v>25</v>
      </c>
      <c r="O392">
        <f t="shared" si="12"/>
        <v>532.92999999999995</v>
      </c>
      <c r="P392" t="str">
        <f t="shared" si="13"/>
        <v>January</v>
      </c>
    </row>
    <row r="393" spans="1:16" x14ac:dyDescent="0.25">
      <c r="A393" t="s">
        <v>425</v>
      </c>
      <c r="B393">
        <v>38</v>
      </c>
      <c r="C393" t="s">
        <v>21</v>
      </c>
      <c r="D393" t="s">
        <v>16</v>
      </c>
      <c r="E393" s="2">
        <v>45664</v>
      </c>
      <c r="F393" t="s">
        <v>23</v>
      </c>
      <c r="G393">
        <v>150</v>
      </c>
      <c r="H393">
        <v>3</v>
      </c>
      <c r="I393">
        <v>9.9700000000000006</v>
      </c>
      <c r="J393">
        <v>2.42</v>
      </c>
      <c r="K393" t="s">
        <v>18</v>
      </c>
      <c r="L393">
        <v>8.9</v>
      </c>
      <c r="M393">
        <v>8</v>
      </c>
      <c r="N393" t="s">
        <v>30</v>
      </c>
      <c r="O393">
        <f t="shared" si="12"/>
        <v>462.39000000000004</v>
      </c>
      <c r="P393" t="str">
        <f t="shared" si="13"/>
        <v>January</v>
      </c>
    </row>
    <row r="394" spans="1:16" x14ac:dyDescent="0.25">
      <c r="A394" t="s">
        <v>426</v>
      </c>
      <c r="B394">
        <v>49</v>
      </c>
      <c r="C394" t="s">
        <v>21</v>
      </c>
      <c r="D394" t="s">
        <v>36</v>
      </c>
      <c r="E394" s="2">
        <v>45659</v>
      </c>
      <c r="F394" t="s">
        <v>41</v>
      </c>
      <c r="G394">
        <v>60</v>
      </c>
      <c r="H394">
        <v>1</v>
      </c>
      <c r="I394">
        <v>101.56</v>
      </c>
      <c r="J394">
        <v>14.44</v>
      </c>
      <c r="K394" t="s">
        <v>18</v>
      </c>
      <c r="L394">
        <v>9.6999999999999993</v>
      </c>
      <c r="M394">
        <v>10</v>
      </c>
      <c r="N394" t="s">
        <v>19</v>
      </c>
      <c r="O394">
        <f t="shared" si="12"/>
        <v>176</v>
      </c>
      <c r="P394" t="str">
        <f t="shared" si="13"/>
        <v>January</v>
      </c>
    </row>
    <row r="395" spans="1:16" x14ac:dyDescent="0.25">
      <c r="A395" t="s">
        <v>427</v>
      </c>
      <c r="B395">
        <v>40</v>
      </c>
      <c r="C395" t="s">
        <v>21</v>
      </c>
      <c r="D395" t="s">
        <v>27</v>
      </c>
      <c r="E395" s="2">
        <v>45861</v>
      </c>
      <c r="F395" t="s">
        <v>41</v>
      </c>
      <c r="G395">
        <v>60</v>
      </c>
      <c r="H395">
        <v>1</v>
      </c>
      <c r="I395">
        <v>122.33</v>
      </c>
      <c r="J395">
        <v>7.34</v>
      </c>
      <c r="K395" t="s">
        <v>24</v>
      </c>
      <c r="L395">
        <v>6.5</v>
      </c>
      <c r="M395">
        <v>4</v>
      </c>
      <c r="N395" t="s">
        <v>19</v>
      </c>
      <c r="O395">
        <f t="shared" si="12"/>
        <v>189.67</v>
      </c>
      <c r="P395" t="str">
        <f t="shared" si="13"/>
        <v>July</v>
      </c>
    </row>
    <row r="396" spans="1:16" x14ac:dyDescent="0.25">
      <c r="A396" t="s">
        <v>428</v>
      </c>
      <c r="B396">
        <v>50</v>
      </c>
      <c r="C396" t="s">
        <v>38</v>
      </c>
      <c r="D396" t="s">
        <v>16</v>
      </c>
      <c r="E396" s="2">
        <v>45850</v>
      </c>
      <c r="F396" t="s">
        <v>29</v>
      </c>
      <c r="G396">
        <v>100</v>
      </c>
      <c r="H396">
        <v>3</v>
      </c>
      <c r="I396">
        <v>29.17</v>
      </c>
      <c r="J396">
        <v>18.829999999999998</v>
      </c>
      <c r="K396" t="s">
        <v>18</v>
      </c>
      <c r="L396">
        <v>7.3</v>
      </c>
      <c r="M396">
        <v>9</v>
      </c>
      <c r="N396" t="s">
        <v>19</v>
      </c>
      <c r="O396">
        <f t="shared" si="12"/>
        <v>348</v>
      </c>
      <c r="P396" t="str">
        <f t="shared" si="13"/>
        <v>July</v>
      </c>
    </row>
    <row r="397" spans="1:16" x14ac:dyDescent="0.25">
      <c r="A397" t="s">
        <v>429</v>
      </c>
      <c r="B397">
        <v>20</v>
      </c>
      <c r="C397" t="s">
        <v>21</v>
      </c>
      <c r="D397" t="s">
        <v>22</v>
      </c>
      <c r="E397" s="2">
        <v>45746</v>
      </c>
      <c r="F397" t="s">
        <v>23</v>
      </c>
      <c r="G397">
        <v>150</v>
      </c>
      <c r="H397">
        <v>4</v>
      </c>
      <c r="I397">
        <v>137.36850000000001</v>
      </c>
      <c r="J397">
        <v>37.840000000000003</v>
      </c>
      <c r="K397" t="s">
        <v>18</v>
      </c>
      <c r="L397">
        <v>8.3000000000000007</v>
      </c>
      <c r="M397">
        <v>10</v>
      </c>
      <c r="N397" t="s">
        <v>34</v>
      </c>
      <c r="O397">
        <f t="shared" si="12"/>
        <v>775.20850000000007</v>
      </c>
      <c r="P397" t="str">
        <f t="shared" si="13"/>
        <v>March</v>
      </c>
    </row>
    <row r="398" spans="1:16" x14ac:dyDescent="0.25">
      <c r="A398" t="s">
        <v>430</v>
      </c>
      <c r="B398">
        <v>35</v>
      </c>
      <c r="C398" t="s">
        <v>15</v>
      </c>
      <c r="D398" t="s">
        <v>27</v>
      </c>
      <c r="E398" s="2">
        <v>45761</v>
      </c>
      <c r="F398" t="s">
        <v>17</v>
      </c>
      <c r="G398">
        <v>200</v>
      </c>
      <c r="H398">
        <v>2</v>
      </c>
      <c r="I398">
        <v>37.42</v>
      </c>
      <c r="J398">
        <v>5.05</v>
      </c>
      <c r="K398" t="s">
        <v>18</v>
      </c>
      <c r="L398">
        <v>7.2</v>
      </c>
      <c r="M398">
        <v>7</v>
      </c>
      <c r="N398" t="s">
        <v>30</v>
      </c>
      <c r="O398">
        <f t="shared" si="12"/>
        <v>442.47</v>
      </c>
      <c r="P398" t="str">
        <f t="shared" si="13"/>
        <v>April</v>
      </c>
    </row>
    <row r="399" spans="1:16" x14ac:dyDescent="0.25">
      <c r="A399" t="s">
        <v>431</v>
      </c>
      <c r="B399">
        <v>42</v>
      </c>
      <c r="C399" t="s">
        <v>21</v>
      </c>
      <c r="D399" t="s">
        <v>27</v>
      </c>
      <c r="E399" s="2">
        <v>45885</v>
      </c>
      <c r="F399" t="s">
        <v>17</v>
      </c>
      <c r="G399">
        <v>200</v>
      </c>
      <c r="H399">
        <v>4</v>
      </c>
      <c r="I399">
        <v>22.54</v>
      </c>
      <c r="J399">
        <v>9.7799999999999994</v>
      </c>
      <c r="K399" t="s">
        <v>18</v>
      </c>
      <c r="L399">
        <v>8.9</v>
      </c>
      <c r="M399">
        <v>9</v>
      </c>
      <c r="N399" t="s">
        <v>19</v>
      </c>
      <c r="O399">
        <f t="shared" si="12"/>
        <v>832.31999999999994</v>
      </c>
      <c r="P399" t="str">
        <f t="shared" si="13"/>
        <v>August</v>
      </c>
    </row>
    <row r="400" spans="1:16" x14ac:dyDescent="0.25">
      <c r="A400" t="s">
        <v>432</v>
      </c>
      <c r="B400">
        <v>59</v>
      </c>
      <c r="C400" t="s">
        <v>15</v>
      </c>
      <c r="D400" t="s">
        <v>40</v>
      </c>
      <c r="E400" s="2">
        <v>45660</v>
      </c>
      <c r="F400" t="s">
        <v>41</v>
      </c>
      <c r="G400">
        <v>60</v>
      </c>
      <c r="H400">
        <v>2</v>
      </c>
      <c r="I400">
        <v>27.28</v>
      </c>
      <c r="J400">
        <v>13.52</v>
      </c>
      <c r="K400" t="s">
        <v>24</v>
      </c>
      <c r="L400">
        <v>8.6999999999999993</v>
      </c>
      <c r="M400">
        <v>10</v>
      </c>
      <c r="N400" t="s">
        <v>19</v>
      </c>
      <c r="O400">
        <f t="shared" si="12"/>
        <v>160.80000000000001</v>
      </c>
      <c r="P400" t="str">
        <f t="shared" si="13"/>
        <v>January</v>
      </c>
    </row>
    <row r="401" spans="1:16" x14ac:dyDescent="0.25">
      <c r="A401" t="s">
        <v>433</v>
      </c>
      <c r="B401">
        <v>48</v>
      </c>
      <c r="C401" t="s">
        <v>15</v>
      </c>
      <c r="D401" t="s">
        <v>52</v>
      </c>
      <c r="E401" s="2">
        <v>45826</v>
      </c>
      <c r="F401" t="s">
        <v>29</v>
      </c>
      <c r="G401">
        <v>100</v>
      </c>
      <c r="H401">
        <v>4</v>
      </c>
      <c r="I401">
        <v>34.869999999999997</v>
      </c>
      <c r="J401">
        <v>5.25</v>
      </c>
      <c r="K401" t="s">
        <v>18</v>
      </c>
      <c r="L401">
        <v>8.6999999999999993</v>
      </c>
      <c r="M401">
        <v>6</v>
      </c>
      <c r="N401" t="s">
        <v>19</v>
      </c>
      <c r="O401">
        <f t="shared" si="12"/>
        <v>440.12</v>
      </c>
      <c r="P401" t="str">
        <f t="shared" si="13"/>
        <v>June</v>
      </c>
    </row>
    <row r="402" spans="1:16" x14ac:dyDescent="0.25">
      <c r="A402" t="s">
        <v>434</v>
      </c>
      <c r="B402">
        <v>20</v>
      </c>
      <c r="C402" t="s">
        <v>21</v>
      </c>
      <c r="D402" t="s">
        <v>16</v>
      </c>
      <c r="E402" s="2">
        <v>45801</v>
      </c>
      <c r="F402" t="s">
        <v>41</v>
      </c>
      <c r="G402">
        <v>60</v>
      </c>
      <c r="H402">
        <v>1</v>
      </c>
      <c r="I402">
        <v>31.92</v>
      </c>
      <c r="J402">
        <v>2.38</v>
      </c>
      <c r="K402" t="s">
        <v>18</v>
      </c>
      <c r="L402">
        <v>10</v>
      </c>
      <c r="M402">
        <v>9</v>
      </c>
      <c r="N402" t="s">
        <v>34</v>
      </c>
      <c r="O402">
        <f t="shared" si="12"/>
        <v>94.3</v>
      </c>
      <c r="P402" t="str">
        <f t="shared" si="13"/>
        <v>May</v>
      </c>
    </row>
    <row r="403" spans="1:16" x14ac:dyDescent="0.25">
      <c r="A403" t="s">
        <v>435</v>
      </c>
      <c r="B403">
        <v>57</v>
      </c>
      <c r="C403" t="s">
        <v>15</v>
      </c>
      <c r="D403" t="s">
        <v>27</v>
      </c>
      <c r="E403" s="2">
        <v>45690</v>
      </c>
      <c r="F403" t="s">
        <v>41</v>
      </c>
      <c r="G403">
        <v>60</v>
      </c>
      <c r="H403">
        <v>3</v>
      </c>
      <c r="I403">
        <v>39.76</v>
      </c>
      <c r="J403">
        <v>7.7</v>
      </c>
      <c r="K403" t="s">
        <v>18</v>
      </c>
      <c r="L403">
        <v>9</v>
      </c>
      <c r="M403">
        <v>10</v>
      </c>
      <c r="N403" t="s">
        <v>19</v>
      </c>
      <c r="O403">
        <f t="shared" si="12"/>
        <v>227.45999999999998</v>
      </c>
      <c r="P403" t="str">
        <f t="shared" si="13"/>
        <v>February</v>
      </c>
    </row>
    <row r="404" spans="1:16" x14ac:dyDescent="0.25">
      <c r="A404" t="s">
        <v>436</v>
      </c>
      <c r="B404">
        <v>63</v>
      </c>
      <c r="C404" t="s">
        <v>21</v>
      </c>
      <c r="D404" t="s">
        <v>40</v>
      </c>
      <c r="E404" s="2">
        <v>45850</v>
      </c>
      <c r="F404" t="s">
        <v>23</v>
      </c>
      <c r="G404">
        <v>150</v>
      </c>
      <c r="H404">
        <v>3</v>
      </c>
      <c r="I404">
        <v>29.31</v>
      </c>
      <c r="J404">
        <v>46.159499999999987</v>
      </c>
      <c r="K404" t="s">
        <v>18</v>
      </c>
      <c r="L404">
        <v>8.1999999999999993</v>
      </c>
      <c r="M404">
        <v>9</v>
      </c>
      <c r="N404" t="s">
        <v>25</v>
      </c>
      <c r="O404">
        <f t="shared" si="12"/>
        <v>525.46950000000004</v>
      </c>
      <c r="P404" t="str">
        <f t="shared" si="13"/>
        <v>July</v>
      </c>
    </row>
    <row r="405" spans="1:16" x14ac:dyDescent="0.25">
      <c r="A405" t="s">
        <v>437</v>
      </c>
      <c r="B405">
        <v>41</v>
      </c>
      <c r="C405" t="s">
        <v>15</v>
      </c>
      <c r="D405" t="s">
        <v>22</v>
      </c>
      <c r="E405" s="2">
        <v>45668</v>
      </c>
      <c r="F405" t="s">
        <v>29</v>
      </c>
      <c r="G405">
        <v>100</v>
      </c>
      <c r="H405">
        <v>1</v>
      </c>
      <c r="I405">
        <v>93.23</v>
      </c>
      <c r="J405">
        <v>12.59</v>
      </c>
      <c r="K405" t="s">
        <v>18</v>
      </c>
      <c r="L405">
        <v>7.7</v>
      </c>
      <c r="M405">
        <v>8</v>
      </c>
      <c r="N405" t="s">
        <v>19</v>
      </c>
      <c r="O405">
        <f t="shared" si="12"/>
        <v>205.82000000000002</v>
      </c>
      <c r="P405" t="str">
        <f t="shared" si="13"/>
        <v>January</v>
      </c>
    </row>
    <row r="406" spans="1:16" x14ac:dyDescent="0.25">
      <c r="A406" t="s">
        <v>438</v>
      </c>
      <c r="B406">
        <v>67</v>
      </c>
      <c r="C406" t="s">
        <v>21</v>
      </c>
      <c r="D406" t="s">
        <v>36</v>
      </c>
      <c r="E406" s="2">
        <v>45779</v>
      </c>
      <c r="F406" t="s">
        <v>29</v>
      </c>
      <c r="G406">
        <v>100</v>
      </c>
      <c r="H406">
        <v>2</v>
      </c>
      <c r="I406">
        <v>33.119999999999997</v>
      </c>
      <c r="J406">
        <v>12.71</v>
      </c>
      <c r="K406" t="s">
        <v>18</v>
      </c>
      <c r="L406">
        <v>7.8</v>
      </c>
      <c r="M406">
        <v>7</v>
      </c>
      <c r="N406" t="s">
        <v>25</v>
      </c>
      <c r="O406">
        <f t="shared" si="12"/>
        <v>245.83</v>
      </c>
      <c r="P406" t="str">
        <f t="shared" si="13"/>
        <v>May</v>
      </c>
    </row>
    <row r="407" spans="1:16" x14ac:dyDescent="0.25">
      <c r="A407" t="s">
        <v>439</v>
      </c>
      <c r="B407">
        <v>49</v>
      </c>
      <c r="C407" t="s">
        <v>15</v>
      </c>
      <c r="D407" t="s">
        <v>33</v>
      </c>
      <c r="E407" s="2">
        <v>45659</v>
      </c>
      <c r="F407" t="s">
        <v>29</v>
      </c>
      <c r="G407">
        <v>100</v>
      </c>
      <c r="H407">
        <v>2</v>
      </c>
      <c r="I407">
        <v>11.25</v>
      </c>
      <c r="J407">
        <v>25.24</v>
      </c>
      <c r="K407" t="s">
        <v>18</v>
      </c>
      <c r="L407">
        <v>6.4</v>
      </c>
      <c r="M407">
        <v>10</v>
      </c>
      <c r="N407" t="s">
        <v>19</v>
      </c>
      <c r="O407">
        <f t="shared" si="12"/>
        <v>236.49</v>
      </c>
      <c r="P407" t="str">
        <f t="shared" si="13"/>
        <v>January</v>
      </c>
    </row>
    <row r="408" spans="1:16" x14ac:dyDescent="0.25">
      <c r="A408" t="s">
        <v>440</v>
      </c>
      <c r="B408">
        <v>64</v>
      </c>
      <c r="C408" t="s">
        <v>38</v>
      </c>
      <c r="D408" t="s">
        <v>33</v>
      </c>
      <c r="E408" s="2">
        <v>45894</v>
      </c>
      <c r="F408" t="s">
        <v>41</v>
      </c>
      <c r="G408">
        <v>60</v>
      </c>
      <c r="H408">
        <v>2</v>
      </c>
      <c r="I408">
        <v>20.49</v>
      </c>
      <c r="J408">
        <v>14.06</v>
      </c>
      <c r="K408" t="s">
        <v>18</v>
      </c>
      <c r="L408">
        <v>5.4</v>
      </c>
      <c r="M408">
        <v>8</v>
      </c>
      <c r="N408" t="s">
        <v>25</v>
      </c>
      <c r="O408">
        <f t="shared" si="12"/>
        <v>154.55000000000001</v>
      </c>
      <c r="P408" t="str">
        <f t="shared" si="13"/>
        <v>August</v>
      </c>
    </row>
    <row r="409" spans="1:16" x14ac:dyDescent="0.25">
      <c r="A409" t="s">
        <v>441</v>
      </c>
      <c r="B409">
        <v>39</v>
      </c>
      <c r="C409" t="s">
        <v>21</v>
      </c>
      <c r="D409" t="s">
        <v>16</v>
      </c>
      <c r="E409" s="2">
        <v>45692</v>
      </c>
      <c r="F409" t="s">
        <v>41</v>
      </c>
      <c r="G409">
        <v>60</v>
      </c>
      <c r="H409">
        <v>1</v>
      </c>
      <c r="I409">
        <v>41.97</v>
      </c>
      <c r="J409">
        <v>40.01</v>
      </c>
      <c r="K409" t="s">
        <v>18</v>
      </c>
      <c r="L409">
        <v>8.6999999999999993</v>
      </c>
      <c r="M409">
        <v>7</v>
      </c>
      <c r="N409" t="s">
        <v>30</v>
      </c>
      <c r="O409">
        <f t="shared" si="12"/>
        <v>141.97999999999999</v>
      </c>
      <c r="P409" t="str">
        <f t="shared" si="13"/>
        <v>February</v>
      </c>
    </row>
    <row r="410" spans="1:16" x14ac:dyDescent="0.25">
      <c r="A410" t="s">
        <v>442</v>
      </c>
      <c r="B410">
        <v>40</v>
      </c>
      <c r="C410" t="s">
        <v>15</v>
      </c>
      <c r="D410" t="s">
        <v>27</v>
      </c>
      <c r="E410" s="2">
        <v>45886</v>
      </c>
      <c r="F410" t="s">
        <v>41</v>
      </c>
      <c r="G410">
        <v>60</v>
      </c>
      <c r="H410">
        <v>2</v>
      </c>
      <c r="I410">
        <v>46.63</v>
      </c>
      <c r="J410">
        <v>18.47</v>
      </c>
      <c r="K410" t="s">
        <v>18</v>
      </c>
      <c r="L410">
        <v>9.8000000000000007</v>
      </c>
      <c r="M410">
        <v>8</v>
      </c>
      <c r="N410" t="s">
        <v>19</v>
      </c>
      <c r="O410">
        <f t="shared" si="12"/>
        <v>185.1</v>
      </c>
      <c r="P410" t="str">
        <f t="shared" si="13"/>
        <v>August</v>
      </c>
    </row>
    <row r="411" spans="1:16" x14ac:dyDescent="0.25">
      <c r="A411" t="s">
        <v>443</v>
      </c>
      <c r="B411">
        <v>19</v>
      </c>
      <c r="C411" t="s">
        <v>21</v>
      </c>
      <c r="D411" t="s">
        <v>33</v>
      </c>
      <c r="E411" s="2">
        <v>45792</v>
      </c>
      <c r="F411" t="s">
        <v>23</v>
      </c>
      <c r="G411">
        <v>150</v>
      </c>
      <c r="H411">
        <v>1</v>
      </c>
      <c r="I411">
        <v>96.44</v>
      </c>
      <c r="J411">
        <v>8.52</v>
      </c>
      <c r="K411" t="s">
        <v>18</v>
      </c>
      <c r="L411">
        <v>7.5</v>
      </c>
      <c r="M411">
        <v>9</v>
      </c>
      <c r="N411" t="s">
        <v>34</v>
      </c>
      <c r="O411">
        <f t="shared" si="12"/>
        <v>254.96</v>
      </c>
      <c r="P411" t="str">
        <f t="shared" si="13"/>
        <v>May</v>
      </c>
    </row>
    <row r="412" spans="1:16" x14ac:dyDescent="0.25">
      <c r="A412" t="s">
        <v>444</v>
      </c>
      <c r="B412">
        <v>44</v>
      </c>
      <c r="C412" t="s">
        <v>38</v>
      </c>
      <c r="D412" t="s">
        <v>52</v>
      </c>
      <c r="E412" s="2">
        <v>45811</v>
      </c>
      <c r="F412" t="s">
        <v>17</v>
      </c>
      <c r="G412">
        <v>200</v>
      </c>
      <c r="H412">
        <v>4</v>
      </c>
      <c r="I412">
        <v>44.95</v>
      </c>
      <c r="J412">
        <v>26.32</v>
      </c>
      <c r="K412" t="s">
        <v>18</v>
      </c>
      <c r="L412">
        <v>10</v>
      </c>
      <c r="M412">
        <v>6</v>
      </c>
      <c r="N412" t="s">
        <v>19</v>
      </c>
      <c r="O412">
        <f t="shared" si="12"/>
        <v>871.2700000000001</v>
      </c>
      <c r="P412" t="str">
        <f t="shared" si="13"/>
        <v>June</v>
      </c>
    </row>
    <row r="413" spans="1:16" x14ac:dyDescent="0.25">
      <c r="A413" t="s">
        <v>445</v>
      </c>
      <c r="B413">
        <v>59</v>
      </c>
      <c r="C413" t="s">
        <v>21</v>
      </c>
      <c r="D413" t="s">
        <v>33</v>
      </c>
      <c r="E413" s="2">
        <v>45765</v>
      </c>
      <c r="F413" t="s">
        <v>41</v>
      </c>
      <c r="G413">
        <v>60</v>
      </c>
      <c r="H413">
        <v>4</v>
      </c>
      <c r="I413">
        <v>60.51</v>
      </c>
      <c r="J413">
        <v>4.67</v>
      </c>
      <c r="K413" t="s">
        <v>24</v>
      </c>
      <c r="L413">
        <v>7.7</v>
      </c>
      <c r="M413">
        <v>8</v>
      </c>
      <c r="N413" t="s">
        <v>19</v>
      </c>
      <c r="O413">
        <f t="shared" si="12"/>
        <v>305.18</v>
      </c>
      <c r="P413" t="str">
        <f t="shared" si="13"/>
        <v>April</v>
      </c>
    </row>
    <row r="414" spans="1:16" x14ac:dyDescent="0.25">
      <c r="A414" t="s">
        <v>446</v>
      </c>
      <c r="B414">
        <v>19</v>
      </c>
      <c r="C414" t="s">
        <v>15</v>
      </c>
      <c r="D414" t="s">
        <v>33</v>
      </c>
      <c r="E414" s="2">
        <v>45739</v>
      </c>
      <c r="F414" t="s">
        <v>17</v>
      </c>
      <c r="G414">
        <v>200</v>
      </c>
      <c r="H414">
        <v>1</v>
      </c>
      <c r="I414">
        <v>36.93</v>
      </c>
      <c r="J414">
        <v>11.53</v>
      </c>
      <c r="K414" t="s">
        <v>18</v>
      </c>
      <c r="L414">
        <v>5.0999999999999996</v>
      </c>
      <c r="M414">
        <v>7</v>
      </c>
      <c r="N414" t="s">
        <v>34</v>
      </c>
      <c r="O414">
        <f t="shared" si="12"/>
        <v>248.46</v>
      </c>
      <c r="P414" t="str">
        <f t="shared" si="13"/>
        <v>March</v>
      </c>
    </row>
    <row r="415" spans="1:16" x14ac:dyDescent="0.25">
      <c r="A415" t="s">
        <v>447</v>
      </c>
      <c r="B415">
        <v>43</v>
      </c>
      <c r="C415" t="s">
        <v>21</v>
      </c>
      <c r="D415" t="s">
        <v>33</v>
      </c>
      <c r="E415" s="2">
        <v>45825</v>
      </c>
      <c r="F415" t="s">
        <v>23</v>
      </c>
      <c r="G415">
        <v>150</v>
      </c>
      <c r="H415">
        <v>3</v>
      </c>
      <c r="I415">
        <v>62.79</v>
      </c>
      <c r="J415">
        <v>6.77</v>
      </c>
      <c r="K415" t="s">
        <v>18</v>
      </c>
      <c r="L415">
        <v>9.4</v>
      </c>
      <c r="M415">
        <v>10</v>
      </c>
      <c r="N415" t="s">
        <v>19</v>
      </c>
      <c r="O415">
        <f t="shared" si="12"/>
        <v>519.55999999999995</v>
      </c>
      <c r="P415" t="str">
        <f t="shared" si="13"/>
        <v>June</v>
      </c>
    </row>
    <row r="416" spans="1:16" x14ac:dyDescent="0.25">
      <c r="A416" t="s">
        <v>448</v>
      </c>
      <c r="B416">
        <v>34</v>
      </c>
      <c r="C416" t="s">
        <v>21</v>
      </c>
      <c r="D416" t="s">
        <v>40</v>
      </c>
      <c r="E416" s="2">
        <v>45882</v>
      </c>
      <c r="F416" t="s">
        <v>17</v>
      </c>
      <c r="G416">
        <v>200</v>
      </c>
      <c r="H416">
        <v>4</v>
      </c>
      <c r="I416">
        <v>9.94</v>
      </c>
      <c r="J416">
        <v>5.68</v>
      </c>
      <c r="K416" t="s">
        <v>18</v>
      </c>
      <c r="L416">
        <v>7.3</v>
      </c>
      <c r="M416">
        <v>5</v>
      </c>
      <c r="N416" t="s">
        <v>30</v>
      </c>
      <c r="O416">
        <f t="shared" si="12"/>
        <v>815.62</v>
      </c>
      <c r="P416" t="str">
        <f t="shared" si="13"/>
        <v>August</v>
      </c>
    </row>
    <row r="417" spans="1:16" x14ac:dyDescent="0.25">
      <c r="A417" t="s">
        <v>449</v>
      </c>
      <c r="B417">
        <v>57</v>
      </c>
      <c r="C417" t="s">
        <v>21</v>
      </c>
      <c r="D417" t="s">
        <v>27</v>
      </c>
      <c r="E417" s="2">
        <v>45844</v>
      </c>
      <c r="F417" t="s">
        <v>29</v>
      </c>
      <c r="G417">
        <v>100</v>
      </c>
      <c r="H417">
        <v>2</v>
      </c>
      <c r="I417">
        <v>64.260000000000005</v>
      </c>
      <c r="J417">
        <v>34.26</v>
      </c>
      <c r="K417" t="s">
        <v>24</v>
      </c>
      <c r="L417">
        <v>9.5</v>
      </c>
      <c r="M417">
        <v>9</v>
      </c>
      <c r="N417" t="s">
        <v>19</v>
      </c>
      <c r="O417">
        <f t="shared" si="12"/>
        <v>298.52</v>
      </c>
      <c r="P417" t="str">
        <f t="shared" si="13"/>
        <v>July</v>
      </c>
    </row>
    <row r="418" spans="1:16" x14ac:dyDescent="0.25">
      <c r="A418" t="s">
        <v>450</v>
      </c>
      <c r="B418">
        <v>50</v>
      </c>
      <c r="C418" t="s">
        <v>21</v>
      </c>
      <c r="D418" t="s">
        <v>52</v>
      </c>
      <c r="E418" s="2">
        <v>45765</v>
      </c>
      <c r="F418" t="s">
        <v>23</v>
      </c>
      <c r="G418">
        <v>150</v>
      </c>
      <c r="H418">
        <v>1</v>
      </c>
      <c r="I418">
        <v>40.92</v>
      </c>
      <c r="J418">
        <v>29.63</v>
      </c>
      <c r="K418" t="s">
        <v>18</v>
      </c>
      <c r="L418">
        <v>6.1</v>
      </c>
      <c r="M418">
        <v>10</v>
      </c>
      <c r="N418" t="s">
        <v>19</v>
      </c>
      <c r="O418">
        <f t="shared" si="12"/>
        <v>220.55</v>
      </c>
      <c r="P418" t="str">
        <f t="shared" si="13"/>
        <v>April</v>
      </c>
    </row>
    <row r="419" spans="1:16" x14ac:dyDescent="0.25">
      <c r="A419" t="s">
        <v>451</v>
      </c>
      <c r="B419">
        <v>26</v>
      </c>
      <c r="C419" t="s">
        <v>15</v>
      </c>
      <c r="D419" t="s">
        <v>27</v>
      </c>
      <c r="E419" s="2">
        <v>45839</v>
      </c>
      <c r="F419" t="s">
        <v>29</v>
      </c>
      <c r="G419">
        <v>100</v>
      </c>
      <c r="H419">
        <v>2</v>
      </c>
      <c r="I419">
        <v>99.74</v>
      </c>
      <c r="J419">
        <v>18.79</v>
      </c>
      <c r="K419" t="s">
        <v>24</v>
      </c>
      <c r="L419">
        <v>8.6</v>
      </c>
      <c r="M419">
        <v>5</v>
      </c>
      <c r="N419" t="s">
        <v>34</v>
      </c>
      <c r="O419">
        <f t="shared" si="12"/>
        <v>318.53000000000003</v>
      </c>
      <c r="P419" t="str">
        <f t="shared" si="13"/>
        <v>July</v>
      </c>
    </row>
    <row r="420" spans="1:16" x14ac:dyDescent="0.25">
      <c r="A420" t="s">
        <v>452</v>
      </c>
      <c r="B420">
        <v>60</v>
      </c>
      <c r="C420" t="s">
        <v>15</v>
      </c>
      <c r="D420" t="s">
        <v>16</v>
      </c>
      <c r="E420" s="2">
        <v>45902</v>
      </c>
      <c r="F420" t="s">
        <v>41</v>
      </c>
      <c r="G420">
        <v>60</v>
      </c>
      <c r="H420">
        <v>2</v>
      </c>
      <c r="I420">
        <v>104.88</v>
      </c>
      <c r="J420">
        <v>46.159499999999987</v>
      </c>
      <c r="K420" t="s">
        <v>18</v>
      </c>
      <c r="L420">
        <v>6.8</v>
      </c>
      <c r="M420">
        <v>5</v>
      </c>
      <c r="N420" t="s">
        <v>25</v>
      </c>
      <c r="O420">
        <f t="shared" si="12"/>
        <v>271.03949999999998</v>
      </c>
      <c r="P420" t="str">
        <f t="shared" si="13"/>
        <v>September</v>
      </c>
    </row>
    <row r="421" spans="1:16" x14ac:dyDescent="0.25">
      <c r="A421" t="s">
        <v>453</v>
      </c>
      <c r="B421">
        <v>65</v>
      </c>
      <c r="C421" t="s">
        <v>21</v>
      </c>
      <c r="D421" t="s">
        <v>16</v>
      </c>
      <c r="E421" s="2">
        <v>45847</v>
      </c>
      <c r="F421" t="s">
        <v>17</v>
      </c>
      <c r="G421">
        <v>200</v>
      </c>
      <c r="H421">
        <v>3</v>
      </c>
      <c r="I421">
        <v>69.61</v>
      </c>
      <c r="J421">
        <v>8.0399999999999991</v>
      </c>
      <c r="K421" t="s">
        <v>24</v>
      </c>
      <c r="L421">
        <v>8.3000000000000007</v>
      </c>
      <c r="M421">
        <v>10</v>
      </c>
      <c r="N421" t="s">
        <v>25</v>
      </c>
      <c r="O421">
        <f t="shared" si="12"/>
        <v>677.65</v>
      </c>
      <c r="P421" t="str">
        <f t="shared" si="13"/>
        <v>July</v>
      </c>
    </row>
    <row r="422" spans="1:16" x14ac:dyDescent="0.25">
      <c r="A422" t="s">
        <v>454</v>
      </c>
      <c r="B422">
        <v>56</v>
      </c>
      <c r="C422" t="s">
        <v>15</v>
      </c>
      <c r="D422" t="s">
        <v>16</v>
      </c>
      <c r="E422" s="2">
        <v>45875</v>
      </c>
      <c r="F422" t="s">
        <v>17</v>
      </c>
      <c r="G422">
        <v>200</v>
      </c>
      <c r="H422">
        <v>2</v>
      </c>
      <c r="I422">
        <v>37.14</v>
      </c>
      <c r="J422">
        <v>26.04</v>
      </c>
      <c r="K422" t="s">
        <v>24</v>
      </c>
      <c r="L422">
        <v>9.1</v>
      </c>
      <c r="M422">
        <v>7</v>
      </c>
      <c r="N422" t="s">
        <v>19</v>
      </c>
      <c r="O422">
        <f t="shared" si="12"/>
        <v>463.18</v>
      </c>
      <c r="P422" t="str">
        <f t="shared" si="13"/>
        <v>August</v>
      </c>
    </row>
    <row r="423" spans="1:16" x14ac:dyDescent="0.25">
      <c r="A423" t="s">
        <v>455</v>
      </c>
      <c r="B423">
        <v>46</v>
      </c>
      <c r="C423" t="s">
        <v>15</v>
      </c>
      <c r="D423" t="s">
        <v>22</v>
      </c>
      <c r="E423" s="2">
        <v>45844</v>
      </c>
      <c r="F423" t="s">
        <v>23</v>
      </c>
      <c r="G423">
        <v>150</v>
      </c>
      <c r="H423">
        <v>3</v>
      </c>
      <c r="I423">
        <v>38.92</v>
      </c>
      <c r="J423">
        <v>39.450000000000003</v>
      </c>
      <c r="K423" t="s">
        <v>18</v>
      </c>
      <c r="L423">
        <v>8.8000000000000007</v>
      </c>
      <c r="M423">
        <v>10</v>
      </c>
      <c r="N423" t="s">
        <v>19</v>
      </c>
      <c r="O423">
        <f t="shared" si="12"/>
        <v>528.37</v>
      </c>
      <c r="P423" t="str">
        <f t="shared" si="13"/>
        <v>July</v>
      </c>
    </row>
    <row r="424" spans="1:16" x14ac:dyDescent="0.25">
      <c r="A424" t="s">
        <v>456</v>
      </c>
      <c r="B424">
        <v>59</v>
      </c>
      <c r="C424" t="s">
        <v>38</v>
      </c>
      <c r="D424" t="s">
        <v>33</v>
      </c>
      <c r="E424" s="2">
        <v>45889</v>
      </c>
      <c r="F424" t="s">
        <v>41</v>
      </c>
      <c r="G424">
        <v>60</v>
      </c>
      <c r="H424">
        <v>4</v>
      </c>
      <c r="I424">
        <v>21.08</v>
      </c>
      <c r="J424">
        <v>17.64</v>
      </c>
      <c r="K424" t="s">
        <v>18</v>
      </c>
      <c r="L424">
        <v>8.1</v>
      </c>
      <c r="M424">
        <v>5</v>
      </c>
      <c r="N424" t="s">
        <v>19</v>
      </c>
      <c r="O424">
        <f t="shared" si="12"/>
        <v>278.71999999999997</v>
      </c>
      <c r="P424" t="str">
        <f t="shared" si="13"/>
        <v>August</v>
      </c>
    </row>
    <row r="425" spans="1:16" x14ac:dyDescent="0.25">
      <c r="A425" t="s">
        <v>457</v>
      </c>
      <c r="B425">
        <v>43</v>
      </c>
      <c r="C425" t="s">
        <v>21</v>
      </c>
      <c r="D425" t="s">
        <v>22</v>
      </c>
      <c r="E425" s="2">
        <v>45709</v>
      </c>
      <c r="F425" t="s">
        <v>23</v>
      </c>
      <c r="G425">
        <v>150</v>
      </c>
      <c r="H425">
        <v>1</v>
      </c>
      <c r="I425">
        <v>43.41</v>
      </c>
      <c r="J425">
        <v>14.95</v>
      </c>
      <c r="K425" t="s">
        <v>18</v>
      </c>
      <c r="L425">
        <v>5.9</v>
      </c>
      <c r="M425">
        <v>8</v>
      </c>
      <c r="N425" t="s">
        <v>19</v>
      </c>
      <c r="O425">
        <f t="shared" si="12"/>
        <v>208.35999999999999</v>
      </c>
      <c r="P425" t="str">
        <f t="shared" si="13"/>
        <v>February</v>
      </c>
    </row>
    <row r="426" spans="1:16" x14ac:dyDescent="0.25">
      <c r="A426" t="s">
        <v>458</v>
      </c>
      <c r="B426">
        <v>52</v>
      </c>
      <c r="C426" t="s">
        <v>21</v>
      </c>
      <c r="D426" t="s">
        <v>40</v>
      </c>
      <c r="E426" s="2">
        <v>45899</v>
      </c>
      <c r="F426" t="s">
        <v>23</v>
      </c>
      <c r="G426">
        <v>150</v>
      </c>
      <c r="H426">
        <v>2</v>
      </c>
      <c r="I426">
        <v>13.59</v>
      </c>
      <c r="J426">
        <v>9.6</v>
      </c>
      <c r="K426" t="s">
        <v>18</v>
      </c>
      <c r="L426">
        <v>9.1</v>
      </c>
      <c r="M426">
        <v>8</v>
      </c>
      <c r="N426" t="s">
        <v>19</v>
      </c>
      <c r="O426">
        <f t="shared" si="12"/>
        <v>323.19</v>
      </c>
      <c r="P426" t="str">
        <f t="shared" si="13"/>
        <v>August</v>
      </c>
    </row>
    <row r="427" spans="1:16" x14ac:dyDescent="0.25">
      <c r="A427" t="s">
        <v>459</v>
      </c>
      <c r="B427">
        <v>67</v>
      </c>
      <c r="C427" t="s">
        <v>21</v>
      </c>
      <c r="D427" t="s">
        <v>16</v>
      </c>
      <c r="E427" s="2">
        <v>45688</v>
      </c>
      <c r="F427" t="s">
        <v>17</v>
      </c>
      <c r="G427">
        <v>200</v>
      </c>
      <c r="H427">
        <v>1</v>
      </c>
      <c r="I427">
        <v>42.77</v>
      </c>
      <c r="J427">
        <v>25.99</v>
      </c>
      <c r="K427" t="s">
        <v>18</v>
      </c>
      <c r="L427">
        <v>9.5</v>
      </c>
      <c r="M427">
        <v>8</v>
      </c>
      <c r="N427" t="s">
        <v>25</v>
      </c>
      <c r="O427">
        <f t="shared" si="12"/>
        <v>268.76</v>
      </c>
      <c r="P427" t="str">
        <f t="shared" si="13"/>
        <v>January</v>
      </c>
    </row>
    <row r="428" spans="1:16" x14ac:dyDescent="0.25">
      <c r="A428" t="s">
        <v>460</v>
      </c>
      <c r="B428">
        <v>42</v>
      </c>
      <c r="C428" t="s">
        <v>21</v>
      </c>
      <c r="D428" t="s">
        <v>52</v>
      </c>
      <c r="E428" s="2">
        <v>45843</v>
      </c>
      <c r="F428" t="s">
        <v>41</v>
      </c>
      <c r="G428">
        <v>60</v>
      </c>
      <c r="H428">
        <v>2</v>
      </c>
      <c r="I428">
        <v>96.51</v>
      </c>
      <c r="J428">
        <v>4.03</v>
      </c>
      <c r="K428" t="s">
        <v>18</v>
      </c>
      <c r="L428">
        <v>6.4</v>
      </c>
      <c r="M428">
        <v>9</v>
      </c>
      <c r="N428" t="s">
        <v>19</v>
      </c>
      <c r="O428">
        <f t="shared" si="12"/>
        <v>220.54</v>
      </c>
      <c r="P428" t="str">
        <f t="shared" si="13"/>
        <v>July</v>
      </c>
    </row>
    <row r="429" spans="1:16" x14ac:dyDescent="0.25">
      <c r="A429" t="s">
        <v>461</v>
      </c>
      <c r="B429">
        <v>41</v>
      </c>
      <c r="C429" t="s">
        <v>21</v>
      </c>
      <c r="D429" t="s">
        <v>27</v>
      </c>
      <c r="E429" s="2">
        <v>45720</v>
      </c>
      <c r="F429" t="s">
        <v>29</v>
      </c>
      <c r="G429">
        <v>100</v>
      </c>
      <c r="H429">
        <v>1</v>
      </c>
      <c r="I429">
        <v>34.39</v>
      </c>
      <c r="J429">
        <v>2.5099999999999998</v>
      </c>
      <c r="K429" t="s">
        <v>18</v>
      </c>
      <c r="L429">
        <v>6.7</v>
      </c>
      <c r="M429">
        <v>9</v>
      </c>
      <c r="N429" t="s">
        <v>19</v>
      </c>
      <c r="O429">
        <f t="shared" si="12"/>
        <v>136.89999999999998</v>
      </c>
      <c r="P429" t="str">
        <f t="shared" si="13"/>
        <v>March</v>
      </c>
    </row>
    <row r="430" spans="1:16" x14ac:dyDescent="0.25">
      <c r="A430" t="s">
        <v>462</v>
      </c>
      <c r="B430">
        <v>30</v>
      </c>
      <c r="C430" t="s">
        <v>21</v>
      </c>
      <c r="D430" t="s">
        <v>33</v>
      </c>
      <c r="E430" s="2">
        <v>45828</v>
      </c>
      <c r="F430" t="s">
        <v>41</v>
      </c>
      <c r="G430">
        <v>60</v>
      </c>
      <c r="H430">
        <v>2</v>
      </c>
      <c r="I430">
        <v>64.34</v>
      </c>
      <c r="J430">
        <v>22.45</v>
      </c>
      <c r="K430" t="s">
        <v>18</v>
      </c>
      <c r="L430">
        <v>9.6</v>
      </c>
      <c r="M430">
        <v>8</v>
      </c>
      <c r="N430" t="s">
        <v>30</v>
      </c>
      <c r="O430">
        <f t="shared" si="12"/>
        <v>206.79</v>
      </c>
      <c r="P430" t="str">
        <f t="shared" si="13"/>
        <v>June</v>
      </c>
    </row>
    <row r="431" spans="1:16" x14ac:dyDescent="0.25">
      <c r="A431" t="s">
        <v>463</v>
      </c>
      <c r="B431">
        <v>24</v>
      </c>
      <c r="C431" t="s">
        <v>15</v>
      </c>
      <c r="D431" t="s">
        <v>36</v>
      </c>
      <c r="E431" s="2">
        <v>45698</v>
      </c>
      <c r="F431" t="s">
        <v>41</v>
      </c>
      <c r="G431">
        <v>60</v>
      </c>
      <c r="H431">
        <v>2</v>
      </c>
      <c r="I431">
        <v>79.849999999999994</v>
      </c>
      <c r="J431">
        <v>7.45</v>
      </c>
      <c r="K431" t="s">
        <v>18</v>
      </c>
      <c r="L431">
        <v>7.7</v>
      </c>
      <c r="M431">
        <v>7</v>
      </c>
      <c r="N431" t="s">
        <v>34</v>
      </c>
      <c r="O431">
        <f t="shared" si="12"/>
        <v>207.29999999999998</v>
      </c>
      <c r="P431" t="str">
        <f t="shared" si="13"/>
        <v>February</v>
      </c>
    </row>
    <row r="432" spans="1:16" x14ac:dyDescent="0.25">
      <c r="A432" t="s">
        <v>464</v>
      </c>
      <c r="B432">
        <v>53</v>
      </c>
      <c r="C432" t="s">
        <v>15</v>
      </c>
      <c r="D432" t="s">
        <v>52</v>
      </c>
      <c r="E432" s="2">
        <v>45675</v>
      </c>
      <c r="F432" t="s">
        <v>23</v>
      </c>
      <c r="G432">
        <v>150</v>
      </c>
      <c r="H432">
        <v>2</v>
      </c>
      <c r="I432">
        <v>91.66</v>
      </c>
      <c r="J432">
        <v>8.31</v>
      </c>
      <c r="K432" t="s">
        <v>18</v>
      </c>
      <c r="L432">
        <v>6.7</v>
      </c>
      <c r="M432">
        <v>10</v>
      </c>
      <c r="N432" t="s">
        <v>19</v>
      </c>
      <c r="O432">
        <f t="shared" si="12"/>
        <v>399.96999999999997</v>
      </c>
      <c r="P432" t="str">
        <f t="shared" si="13"/>
        <v>January</v>
      </c>
    </row>
    <row r="433" spans="1:16" x14ac:dyDescent="0.25">
      <c r="A433" t="s">
        <v>465</v>
      </c>
      <c r="B433">
        <v>62</v>
      </c>
      <c r="C433" t="s">
        <v>21</v>
      </c>
      <c r="D433" t="s">
        <v>33</v>
      </c>
      <c r="E433" s="2">
        <v>45879</v>
      </c>
      <c r="F433" t="s">
        <v>41</v>
      </c>
      <c r="G433">
        <v>60</v>
      </c>
      <c r="H433">
        <v>2</v>
      </c>
      <c r="I433">
        <v>34.22</v>
      </c>
      <c r="J433">
        <v>6.39</v>
      </c>
      <c r="K433" t="s">
        <v>18</v>
      </c>
      <c r="L433">
        <v>8.4</v>
      </c>
      <c r="M433">
        <v>9</v>
      </c>
      <c r="N433" t="s">
        <v>25</v>
      </c>
      <c r="O433">
        <f t="shared" si="12"/>
        <v>160.60999999999999</v>
      </c>
      <c r="P433" t="str">
        <f t="shared" si="13"/>
        <v>August</v>
      </c>
    </row>
    <row r="434" spans="1:16" x14ac:dyDescent="0.25">
      <c r="A434" t="s">
        <v>466</v>
      </c>
      <c r="B434">
        <v>37</v>
      </c>
      <c r="C434" t="s">
        <v>21</v>
      </c>
      <c r="D434" t="s">
        <v>22</v>
      </c>
      <c r="E434" s="2">
        <v>45789</v>
      </c>
      <c r="F434" t="s">
        <v>17</v>
      </c>
      <c r="G434">
        <v>200</v>
      </c>
      <c r="H434">
        <v>2</v>
      </c>
      <c r="I434">
        <v>21.44</v>
      </c>
      <c r="J434">
        <v>18.920000000000002</v>
      </c>
      <c r="K434" t="s">
        <v>24</v>
      </c>
      <c r="L434">
        <v>7</v>
      </c>
      <c r="M434">
        <v>8</v>
      </c>
      <c r="N434" t="s">
        <v>30</v>
      </c>
      <c r="O434">
        <f t="shared" si="12"/>
        <v>440.36</v>
      </c>
      <c r="P434" t="str">
        <f t="shared" si="13"/>
        <v>May</v>
      </c>
    </row>
    <row r="435" spans="1:16" x14ac:dyDescent="0.25">
      <c r="A435" t="s">
        <v>467</v>
      </c>
      <c r="B435">
        <v>18</v>
      </c>
      <c r="C435" t="s">
        <v>15</v>
      </c>
      <c r="D435" t="s">
        <v>22</v>
      </c>
      <c r="E435" s="2">
        <v>45781</v>
      </c>
      <c r="F435" t="s">
        <v>41</v>
      </c>
      <c r="G435">
        <v>60</v>
      </c>
      <c r="H435">
        <v>2</v>
      </c>
      <c r="I435">
        <v>18.78</v>
      </c>
      <c r="J435">
        <v>17.170000000000002</v>
      </c>
      <c r="K435" t="s">
        <v>18</v>
      </c>
      <c r="L435">
        <v>8.1999999999999993</v>
      </c>
      <c r="M435">
        <v>9</v>
      </c>
      <c r="N435" t="s">
        <v>34</v>
      </c>
      <c r="O435">
        <f t="shared" si="12"/>
        <v>155.94999999999999</v>
      </c>
      <c r="P435" t="str">
        <f t="shared" si="13"/>
        <v>May</v>
      </c>
    </row>
    <row r="436" spans="1:16" x14ac:dyDescent="0.25">
      <c r="A436" t="s">
        <v>468</v>
      </c>
      <c r="B436">
        <v>25</v>
      </c>
      <c r="C436" t="s">
        <v>15</v>
      </c>
      <c r="D436" t="s">
        <v>52</v>
      </c>
      <c r="E436" s="2">
        <v>45743</v>
      </c>
      <c r="F436" t="s">
        <v>29</v>
      </c>
      <c r="G436">
        <v>100</v>
      </c>
      <c r="H436">
        <v>2</v>
      </c>
      <c r="I436">
        <v>22.73</v>
      </c>
      <c r="J436">
        <v>6.21</v>
      </c>
      <c r="K436" t="s">
        <v>24</v>
      </c>
      <c r="L436">
        <v>7.4</v>
      </c>
      <c r="M436">
        <v>9</v>
      </c>
      <c r="N436" t="s">
        <v>34</v>
      </c>
      <c r="O436">
        <f t="shared" si="12"/>
        <v>228.94</v>
      </c>
      <c r="P436" t="str">
        <f t="shared" si="13"/>
        <v>March</v>
      </c>
    </row>
    <row r="437" spans="1:16" x14ac:dyDescent="0.25">
      <c r="A437" t="s">
        <v>469</v>
      </c>
      <c r="B437">
        <v>63</v>
      </c>
      <c r="C437" t="s">
        <v>15</v>
      </c>
      <c r="D437" t="s">
        <v>22</v>
      </c>
      <c r="E437" s="2">
        <v>45843</v>
      </c>
      <c r="F437" t="s">
        <v>41</v>
      </c>
      <c r="G437">
        <v>60</v>
      </c>
      <c r="H437">
        <v>2</v>
      </c>
      <c r="I437">
        <v>36.42</v>
      </c>
      <c r="J437">
        <v>16.670000000000002</v>
      </c>
      <c r="K437" t="s">
        <v>18</v>
      </c>
      <c r="L437">
        <v>7.5</v>
      </c>
      <c r="M437">
        <v>7</v>
      </c>
      <c r="N437" t="s">
        <v>25</v>
      </c>
      <c r="O437">
        <f t="shared" si="12"/>
        <v>173.09000000000003</v>
      </c>
      <c r="P437" t="str">
        <f t="shared" si="13"/>
        <v>July</v>
      </c>
    </row>
    <row r="438" spans="1:16" x14ac:dyDescent="0.25">
      <c r="A438" t="s">
        <v>470</v>
      </c>
      <c r="B438">
        <v>33</v>
      </c>
      <c r="C438" t="s">
        <v>15</v>
      </c>
      <c r="D438" t="s">
        <v>16</v>
      </c>
      <c r="E438" s="2">
        <v>45810</v>
      </c>
      <c r="F438" t="s">
        <v>17</v>
      </c>
      <c r="G438">
        <v>200</v>
      </c>
      <c r="H438">
        <v>2</v>
      </c>
      <c r="I438">
        <v>13.19</v>
      </c>
      <c r="J438">
        <v>17.96</v>
      </c>
      <c r="K438" t="s">
        <v>18</v>
      </c>
      <c r="L438">
        <v>9.6999999999999993</v>
      </c>
      <c r="M438">
        <v>9</v>
      </c>
      <c r="N438" t="s">
        <v>30</v>
      </c>
      <c r="O438">
        <f t="shared" si="12"/>
        <v>431.15</v>
      </c>
      <c r="P438" t="str">
        <f t="shared" si="13"/>
        <v>June</v>
      </c>
    </row>
    <row r="439" spans="1:16" x14ac:dyDescent="0.25">
      <c r="A439" t="s">
        <v>471</v>
      </c>
      <c r="B439">
        <v>31</v>
      </c>
      <c r="C439" t="s">
        <v>21</v>
      </c>
      <c r="D439" t="s">
        <v>40</v>
      </c>
      <c r="E439" s="2">
        <v>45719</v>
      </c>
      <c r="F439" t="s">
        <v>23</v>
      </c>
      <c r="G439">
        <v>150</v>
      </c>
      <c r="H439">
        <v>1</v>
      </c>
      <c r="I439">
        <v>27.72</v>
      </c>
      <c r="J439">
        <v>12.67</v>
      </c>
      <c r="K439" t="s">
        <v>18</v>
      </c>
      <c r="L439">
        <v>4.3</v>
      </c>
      <c r="M439">
        <v>7</v>
      </c>
      <c r="N439" t="s">
        <v>30</v>
      </c>
      <c r="O439">
        <f t="shared" si="12"/>
        <v>190.39</v>
      </c>
      <c r="P439" t="str">
        <f t="shared" si="13"/>
        <v>March</v>
      </c>
    </row>
    <row r="440" spans="1:16" x14ac:dyDescent="0.25">
      <c r="A440" t="s">
        <v>472</v>
      </c>
      <c r="B440">
        <v>29</v>
      </c>
      <c r="C440" t="s">
        <v>15</v>
      </c>
      <c r="D440" t="s">
        <v>27</v>
      </c>
      <c r="E440" s="2">
        <v>45677</v>
      </c>
      <c r="F440" t="s">
        <v>23</v>
      </c>
      <c r="G440">
        <v>150</v>
      </c>
      <c r="H440">
        <v>3</v>
      </c>
      <c r="I440">
        <v>102.38</v>
      </c>
      <c r="J440">
        <v>30.77</v>
      </c>
      <c r="K440" t="s">
        <v>18</v>
      </c>
      <c r="L440">
        <v>8.8000000000000007</v>
      </c>
      <c r="M440">
        <v>9</v>
      </c>
      <c r="N440" t="s">
        <v>34</v>
      </c>
      <c r="O440">
        <f t="shared" si="12"/>
        <v>583.15</v>
      </c>
      <c r="P440" t="str">
        <f t="shared" si="13"/>
        <v>January</v>
      </c>
    </row>
    <row r="441" spans="1:16" x14ac:dyDescent="0.25">
      <c r="A441" t="s">
        <v>473</v>
      </c>
      <c r="B441">
        <v>68</v>
      </c>
      <c r="C441" t="s">
        <v>21</v>
      </c>
      <c r="D441" t="s">
        <v>40</v>
      </c>
      <c r="E441" s="2">
        <v>45852</v>
      </c>
      <c r="F441" t="s">
        <v>23</v>
      </c>
      <c r="G441">
        <v>150</v>
      </c>
      <c r="H441">
        <v>2</v>
      </c>
      <c r="I441">
        <v>97.05</v>
      </c>
      <c r="J441">
        <v>13.68</v>
      </c>
      <c r="K441" t="s">
        <v>24</v>
      </c>
      <c r="L441">
        <v>9.4</v>
      </c>
      <c r="M441">
        <v>8</v>
      </c>
      <c r="N441" t="s">
        <v>25</v>
      </c>
      <c r="O441">
        <f t="shared" si="12"/>
        <v>410.73</v>
      </c>
      <c r="P441" t="str">
        <f t="shared" si="13"/>
        <v>July</v>
      </c>
    </row>
    <row r="442" spans="1:16" x14ac:dyDescent="0.25">
      <c r="A442" t="s">
        <v>474</v>
      </c>
      <c r="B442">
        <v>40</v>
      </c>
      <c r="C442" t="s">
        <v>21</v>
      </c>
      <c r="D442" t="s">
        <v>33</v>
      </c>
      <c r="E442" s="2">
        <v>45907</v>
      </c>
      <c r="F442" t="s">
        <v>23</v>
      </c>
      <c r="G442">
        <v>150</v>
      </c>
      <c r="H442">
        <v>3</v>
      </c>
      <c r="I442">
        <v>5.96</v>
      </c>
      <c r="J442">
        <v>21.38</v>
      </c>
      <c r="K442" t="s">
        <v>18</v>
      </c>
      <c r="L442">
        <v>7.1</v>
      </c>
      <c r="M442">
        <v>9</v>
      </c>
      <c r="N442" t="s">
        <v>19</v>
      </c>
      <c r="O442">
        <f t="shared" si="12"/>
        <v>477.34</v>
      </c>
      <c r="P442" t="str">
        <f t="shared" si="13"/>
        <v>September</v>
      </c>
    </row>
    <row r="443" spans="1:16" x14ac:dyDescent="0.25">
      <c r="A443" t="s">
        <v>475</v>
      </c>
      <c r="B443">
        <v>32</v>
      </c>
      <c r="C443" t="s">
        <v>21</v>
      </c>
      <c r="D443" t="s">
        <v>27</v>
      </c>
      <c r="E443" s="2">
        <v>45680</v>
      </c>
      <c r="F443" t="s">
        <v>23</v>
      </c>
      <c r="G443">
        <v>150</v>
      </c>
      <c r="H443">
        <v>2</v>
      </c>
      <c r="I443">
        <v>137.36850000000001</v>
      </c>
      <c r="J443">
        <v>14.15</v>
      </c>
      <c r="K443" t="s">
        <v>18</v>
      </c>
      <c r="L443">
        <v>9.4</v>
      </c>
      <c r="M443">
        <v>7</v>
      </c>
      <c r="N443" t="s">
        <v>30</v>
      </c>
      <c r="O443">
        <f t="shared" si="12"/>
        <v>451.51850000000002</v>
      </c>
      <c r="P443" t="str">
        <f t="shared" si="13"/>
        <v>January</v>
      </c>
    </row>
    <row r="444" spans="1:16" x14ac:dyDescent="0.25">
      <c r="A444" t="s">
        <v>476</v>
      </c>
      <c r="B444">
        <v>45</v>
      </c>
      <c r="C444" t="s">
        <v>21</v>
      </c>
      <c r="D444" t="s">
        <v>27</v>
      </c>
      <c r="E444" s="2">
        <v>45723</v>
      </c>
      <c r="F444" t="s">
        <v>17</v>
      </c>
      <c r="G444">
        <v>200</v>
      </c>
      <c r="H444">
        <v>2</v>
      </c>
      <c r="I444">
        <v>119.16</v>
      </c>
      <c r="J444">
        <v>17.600000000000001</v>
      </c>
      <c r="K444" t="s">
        <v>24</v>
      </c>
      <c r="L444">
        <v>6.6</v>
      </c>
      <c r="M444">
        <v>9</v>
      </c>
      <c r="N444" t="s">
        <v>19</v>
      </c>
      <c r="O444">
        <f t="shared" si="12"/>
        <v>536.76</v>
      </c>
      <c r="P444" t="str">
        <f t="shared" si="13"/>
        <v>March</v>
      </c>
    </row>
    <row r="445" spans="1:16" x14ac:dyDescent="0.25">
      <c r="A445" t="s">
        <v>477</v>
      </c>
      <c r="B445">
        <v>51</v>
      </c>
      <c r="C445" t="s">
        <v>15</v>
      </c>
      <c r="D445" t="s">
        <v>40</v>
      </c>
      <c r="E445" s="2">
        <v>45892</v>
      </c>
      <c r="F445" t="s">
        <v>29</v>
      </c>
      <c r="G445">
        <v>100</v>
      </c>
      <c r="H445">
        <v>1</v>
      </c>
      <c r="I445">
        <v>13</v>
      </c>
      <c r="J445">
        <v>13.83</v>
      </c>
      <c r="K445" t="s">
        <v>18</v>
      </c>
      <c r="L445">
        <v>7</v>
      </c>
      <c r="M445">
        <v>7</v>
      </c>
      <c r="N445" t="s">
        <v>19</v>
      </c>
      <c r="O445">
        <f t="shared" si="12"/>
        <v>126.83</v>
      </c>
      <c r="P445" t="str">
        <f t="shared" si="13"/>
        <v>August</v>
      </c>
    </row>
    <row r="446" spans="1:16" x14ac:dyDescent="0.25">
      <c r="A446" t="s">
        <v>478</v>
      </c>
      <c r="B446">
        <v>19</v>
      </c>
      <c r="C446" t="s">
        <v>21</v>
      </c>
      <c r="D446" t="s">
        <v>52</v>
      </c>
      <c r="E446" s="2">
        <v>45800</v>
      </c>
      <c r="F446" t="s">
        <v>41</v>
      </c>
      <c r="G446">
        <v>60</v>
      </c>
      <c r="H446">
        <v>4</v>
      </c>
      <c r="I446">
        <v>52.38</v>
      </c>
      <c r="J446">
        <v>6.61</v>
      </c>
      <c r="K446" t="s">
        <v>24</v>
      </c>
      <c r="L446">
        <v>6.8</v>
      </c>
      <c r="M446">
        <v>8</v>
      </c>
      <c r="N446" t="s">
        <v>34</v>
      </c>
      <c r="O446">
        <f t="shared" si="12"/>
        <v>298.99</v>
      </c>
      <c r="P446" t="str">
        <f t="shared" si="13"/>
        <v>May</v>
      </c>
    </row>
    <row r="447" spans="1:16" x14ac:dyDescent="0.25">
      <c r="A447" t="s">
        <v>479</v>
      </c>
      <c r="B447">
        <v>49</v>
      </c>
      <c r="C447" t="s">
        <v>15</v>
      </c>
      <c r="D447" t="s">
        <v>27</v>
      </c>
      <c r="E447" s="2">
        <v>45692</v>
      </c>
      <c r="F447" t="s">
        <v>29</v>
      </c>
      <c r="G447">
        <v>100</v>
      </c>
      <c r="H447">
        <v>4</v>
      </c>
      <c r="I447">
        <v>33.96</v>
      </c>
      <c r="J447">
        <v>11.15</v>
      </c>
      <c r="K447" t="s">
        <v>24</v>
      </c>
      <c r="L447">
        <v>9.4</v>
      </c>
      <c r="M447">
        <v>10</v>
      </c>
      <c r="N447" t="s">
        <v>19</v>
      </c>
      <c r="O447">
        <f t="shared" si="12"/>
        <v>445.10999999999996</v>
      </c>
      <c r="P447" t="str">
        <f t="shared" si="13"/>
        <v>February</v>
      </c>
    </row>
    <row r="448" spans="1:16" x14ac:dyDescent="0.25">
      <c r="A448" t="s">
        <v>480</v>
      </c>
      <c r="B448">
        <v>40</v>
      </c>
      <c r="C448" t="s">
        <v>15</v>
      </c>
      <c r="D448" t="s">
        <v>40</v>
      </c>
      <c r="E448" s="2">
        <v>45765</v>
      </c>
      <c r="F448" t="s">
        <v>17</v>
      </c>
      <c r="G448">
        <v>200</v>
      </c>
      <c r="H448">
        <v>1</v>
      </c>
      <c r="I448">
        <v>31.1</v>
      </c>
      <c r="J448">
        <v>31.98</v>
      </c>
      <c r="K448" t="s">
        <v>18</v>
      </c>
      <c r="L448">
        <v>5.4</v>
      </c>
      <c r="M448">
        <v>9</v>
      </c>
      <c r="N448" t="s">
        <v>19</v>
      </c>
      <c r="O448">
        <f t="shared" si="12"/>
        <v>263.08</v>
      </c>
      <c r="P448" t="str">
        <f t="shared" si="13"/>
        <v>April</v>
      </c>
    </row>
    <row r="449" spans="1:16" x14ac:dyDescent="0.25">
      <c r="A449" t="s">
        <v>481</v>
      </c>
      <c r="B449">
        <v>39</v>
      </c>
      <c r="C449" t="s">
        <v>38</v>
      </c>
      <c r="D449" t="s">
        <v>27</v>
      </c>
      <c r="E449" s="2">
        <v>45891</v>
      </c>
      <c r="F449" t="s">
        <v>29</v>
      </c>
      <c r="G449">
        <v>100</v>
      </c>
      <c r="H449">
        <v>3</v>
      </c>
      <c r="I449">
        <v>12.37</v>
      </c>
      <c r="J449">
        <v>38.409999999999997</v>
      </c>
      <c r="K449" t="s">
        <v>18</v>
      </c>
      <c r="L449">
        <v>10</v>
      </c>
      <c r="M449">
        <v>8</v>
      </c>
      <c r="N449" t="s">
        <v>30</v>
      </c>
      <c r="O449">
        <f t="shared" si="12"/>
        <v>350.78</v>
      </c>
      <c r="P449" t="str">
        <f t="shared" si="13"/>
        <v>August</v>
      </c>
    </row>
    <row r="450" spans="1:16" x14ac:dyDescent="0.25">
      <c r="A450" t="s">
        <v>482</v>
      </c>
      <c r="B450">
        <v>68</v>
      </c>
      <c r="C450" t="s">
        <v>15</v>
      </c>
      <c r="D450" t="s">
        <v>36</v>
      </c>
      <c r="E450" s="2">
        <v>45883</v>
      </c>
      <c r="F450" t="s">
        <v>17</v>
      </c>
      <c r="G450">
        <v>200</v>
      </c>
      <c r="H450">
        <v>4</v>
      </c>
      <c r="I450">
        <v>91.1</v>
      </c>
      <c r="J450">
        <v>21.29</v>
      </c>
      <c r="K450" t="s">
        <v>18</v>
      </c>
      <c r="L450">
        <v>7.5</v>
      </c>
      <c r="M450">
        <v>10</v>
      </c>
      <c r="N450" t="s">
        <v>25</v>
      </c>
      <c r="O450">
        <f t="shared" si="12"/>
        <v>912.39</v>
      </c>
      <c r="P450" t="str">
        <f t="shared" si="13"/>
        <v>August</v>
      </c>
    </row>
    <row r="451" spans="1:16" x14ac:dyDescent="0.25">
      <c r="A451" t="s">
        <v>483</v>
      </c>
      <c r="B451">
        <v>42</v>
      </c>
      <c r="C451" t="s">
        <v>15</v>
      </c>
      <c r="D451" t="s">
        <v>52</v>
      </c>
      <c r="E451" s="2">
        <v>45875</v>
      </c>
      <c r="F451" t="s">
        <v>41</v>
      </c>
      <c r="G451">
        <v>60</v>
      </c>
      <c r="H451">
        <v>1</v>
      </c>
      <c r="I451">
        <v>90.19</v>
      </c>
      <c r="J451">
        <v>18.54</v>
      </c>
      <c r="K451" t="s">
        <v>18</v>
      </c>
      <c r="L451">
        <v>8.9</v>
      </c>
      <c r="M451">
        <v>10</v>
      </c>
      <c r="N451" t="s">
        <v>19</v>
      </c>
      <c r="O451">
        <f t="shared" ref="O451:O514" si="14">(G451*H451)+I451+J451</f>
        <v>168.73</v>
      </c>
      <c r="P451" t="str">
        <f t="shared" ref="P451:P514" si="15">TEXT(E451, "mmmm")</f>
        <v>August</v>
      </c>
    </row>
    <row r="452" spans="1:16" x14ac:dyDescent="0.25">
      <c r="A452" t="s">
        <v>484</v>
      </c>
      <c r="B452">
        <v>39</v>
      </c>
      <c r="C452" t="s">
        <v>21</v>
      </c>
      <c r="D452" t="s">
        <v>16</v>
      </c>
      <c r="E452" s="2">
        <v>45878</v>
      </c>
      <c r="F452" t="s">
        <v>17</v>
      </c>
      <c r="G452">
        <v>200</v>
      </c>
      <c r="H452">
        <v>1</v>
      </c>
      <c r="I452">
        <v>65.72</v>
      </c>
      <c r="J452">
        <v>4.25</v>
      </c>
      <c r="K452" t="s">
        <v>18</v>
      </c>
      <c r="L452">
        <v>8.8000000000000007</v>
      </c>
      <c r="M452">
        <v>9</v>
      </c>
      <c r="N452" t="s">
        <v>30</v>
      </c>
      <c r="O452">
        <f t="shared" si="14"/>
        <v>269.97000000000003</v>
      </c>
      <c r="P452" t="str">
        <f t="shared" si="15"/>
        <v>August</v>
      </c>
    </row>
    <row r="453" spans="1:16" x14ac:dyDescent="0.25">
      <c r="A453" t="s">
        <v>485</v>
      </c>
      <c r="B453">
        <v>39</v>
      </c>
      <c r="C453" t="s">
        <v>15</v>
      </c>
      <c r="D453" t="s">
        <v>27</v>
      </c>
      <c r="E453" s="2">
        <v>45873</v>
      </c>
      <c r="F453" t="s">
        <v>41</v>
      </c>
      <c r="G453">
        <v>60</v>
      </c>
      <c r="H453">
        <v>4</v>
      </c>
      <c r="I453">
        <v>137.36850000000001</v>
      </c>
      <c r="J453">
        <v>18.25</v>
      </c>
      <c r="K453" t="s">
        <v>24</v>
      </c>
      <c r="L453">
        <v>8.1999999999999993</v>
      </c>
      <c r="M453">
        <v>9</v>
      </c>
      <c r="N453" t="s">
        <v>30</v>
      </c>
      <c r="O453">
        <f t="shared" si="14"/>
        <v>395.61850000000004</v>
      </c>
      <c r="P453" t="str">
        <f t="shared" si="15"/>
        <v>August</v>
      </c>
    </row>
    <row r="454" spans="1:16" x14ac:dyDescent="0.25">
      <c r="A454" t="s">
        <v>486</v>
      </c>
      <c r="B454">
        <v>66</v>
      </c>
      <c r="C454" t="s">
        <v>21</v>
      </c>
      <c r="D454" t="s">
        <v>36</v>
      </c>
      <c r="E454" s="2">
        <v>45756</v>
      </c>
      <c r="F454" t="s">
        <v>41</v>
      </c>
      <c r="G454">
        <v>60</v>
      </c>
      <c r="H454">
        <v>3</v>
      </c>
      <c r="I454">
        <v>44.2</v>
      </c>
      <c r="J454">
        <v>5.76</v>
      </c>
      <c r="K454" t="s">
        <v>24</v>
      </c>
      <c r="L454">
        <v>7.1</v>
      </c>
      <c r="M454">
        <v>9</v>
      </c>
      <c r="N454" t="s">
        <v>25</v>
      </c>
      <c r="O454">
        <f t="shared" si="14"/>
        <v>229.95999999999998</v>
      </c>
      <c r="P454" t="str">
        <f t="shared" si="15"/>
        <v>April</v>
      </c>
    </row>
    <row r="455" spans="1:16" x14ac:dyDescent="0.25">
      <c r="A455" t="s">
        <v>487</v>
      </c>
      <c r="B455">
        <v>69</v>
      </c>
      <c r="C455" t="s">
        <v>15</v>
      </c>
      <c r="D455" t="s">
        <v>16</v>
      </c>
      <c r="E455" s="2">
        <v>45707</v>
      </c>
      <c r="F455" t="s">
        <v>41</v>
      </c>
      <c r="G455">
        <v>60</v>
      </c>
      <c r="H455">
        <v>1</v>
      </c>
      <c r="I455">
        <v>28.31</v>
      </c>
      <c r="J455">
        <v>11.81</v>
      </c>
      <c r="K455" t="s">
        <v>18</v>
      </c>
      <c r="L455">
        <v>9.9</v>
      </c>
      <c r="M455">
        <v>10</v>
      </c>
      <c r="N455" t="s">
        <v>25</v>
      </c>
      <c r="O455">
        <f t="shared" si="14"/>
        <v>100.12</v>
      </c>
      <c r="P455" t="str">
        <f t="shared" si="15"/>
        <v>February</v>
      </c>
    </row>
    <row r="456" spans="1:16" x14ac:dyDescent="0.25">
      <c r="A456" t="s">
        <v>488</v>
      </c>
      <c r="B456">
        <v>59</v>
      </c>
      <c r="C456" t="s">
        <v>38</v>
      </c>
      <c r="D456" t="s">
        <v>16</v>
      </c>
      <c r="E456" s="2">
        <v>45664</v>
      </c>
      <c r="F456" t="s">
        <v>29</v>
      </c>
      <c r="G456">
        <v>100</v>
      </c>
      <c r="H456">
        <v>2</v>
      </c>
      <c r="I456">
        <v>21.33</v>
      </c>
      <c r="J456">
        <v>18.41</v>
      </c>
      <c r="K456" t="s">
        <v>18</v>
      </c>
      <c r="L456">
        <v>7.2</v>
      </c>
      <c r="M456">
        <v>7</v>
      </c>
      <c r="N456" t="s">
        <v>19</v>
      </c>
      <c r="O456">
        <f t="shared" si="14"/>
        <v>239.73999999999998</v>
      </c>
      <c r="P456" t="str">
        <f t="shared" si="15"/>
        <v>January</v>
      </c>
    </row>
    <row r="457" spans="1:16" x14ac:dyDescent="0.25">
      <c r="A457" t="s">
        <v>489</v>
      </c>
      <c r="B457">
        <v>23</v>
      </c>
      <c r="C457" t="s">
        <v>21</v>
      </c>
      <c r="D457" t="s">
        <v>33</v>
      </c>
      <c r="E457" s="2">
        <v>45680</v>
      </c>
      <c r="F457" t="s">
        <v>41</v>
      </c>
      <c r="G457">
        <v>60</v>
      </c>
      <c r="H457">
        <v>3</v>
      </c>
      <c r="I457">
        <v>24.11</v>
      </c>
      <c r="J457">
        <v>9.01</v>
      </c>
      <c r="K457" t="s">
        <v>18</v>
      </c>
      <c r="L457">
        <v>6.9</v>
      </c>
      <c r="M457">
        <v>10</v>
      </c>
      <c r="N457" t="s">
        <v>34</v>
      </c>
      <c r="O457">
        <f t="shared" si="14"/>
        <v>213.12</v>
      </c>
      <c r="P457" t="str">
        <f t="shared" si="15"/>
        <v>January</v>
      </c>
    </row>
    <row r="458" spans="1:16" x14ac:dyDescent="0.25">
      <c r="A458" t="s">
        <v>490</v>
      </c>
      <c r="B458">
        <v>32</v>
      </c>
      <c r="C458" t="s">
        <v>21</v>
      </c>
      <c r="D458" t="s">
        <v>27</v>
      </c>
      <c r="E458" s="2">
        <v>45861</v>
      </c>
      <c r="F458" t="s">
        <v>41</v>
      </c>
      <c r="G458">
        <v>60</v>
      </c>
      <c r="H458">
        <v>3</v>
      </c>
      <c r="I458">
        <v>117.38</v>
      </c>
      <c r="J458">
        <v>17.21</v>
      </c>
      <c r="K458" t="s">
        <v>18</v>
      </c>
      <c r="L458">
        <v>9.3000000000000007</v>
      </c>
      <c r="M458">
        <v>9</v>
      </c>
      <c r="N458" t="s">
        <v>30</v>
      </c>
      <c r="O458">
        <f t="shared" si="14"/>
        <v>314.58999999999997</v>
      </c>
      <c r="P458" t="str">
        <f t="shared" si="15"/>
        <v>July</v>
      </c>
    </row>
    <row r="459" spans="1:16" x14ac:dyDescent="0.25">
      <c r="A459" t="s">
        <v>491</v>
      </c>
      <c r="B459">
        <v>60</v>
      </c>
      <c r="C459" t="s">
        <v>38</v>
      </c>
      <c r="D459" t="s">
        <v>40</v>
      </c>
      <c r="E459" s="2">
        <v>45884</v>
      </c>
      <c r="F459" t="s">
        <v>29</v>
      </c>
      <c r="G459">
        <v>100</v>
      </c>
      <c r="H459">
        <v>4</v>
      </c>
      <c r="I459">
        <v>66.5</v>
      </c>
      <c r="J459">
        <v>11.28</v>
      </c>
      <c r="K459" t="s">
        <v>24</v>
      </c>
      <c r="L459">
        <v>8.1999999999999993</v>
      </c>
      <c r="M459">
        <v>7</v>
      </c>
      <c r="N459" t="s">
        <v>25</v>
      </c>
      <c r="O459">
        <f t="shared" si="14"/>
        <v>477.78</v>
      </c>
      <c r="P459" t="str">
        <f t="shared" si="15"/>
        <v>August</v>
      </c>
    </row>
    <row r="460" spans="1:16" x14ac:dyDescent="0.25">
      <c r="A460" t="s">
        <v>492</v>
      </c>
      <c r="B460">
        <v>54</v>
      </c>
      <c r="C460" t="s">
        <v>15</v>
      </c>
      <c r="D460" t="s">
        <v>27</v>
      </c>
      <c r="E460" s="2">
        <v>45802</v>
      </c>
      <c r="F460" t="s">
        <v>29</v>
      </c>
      <c r="G460">
        <v>100</v>
      </c>
      <c r="H460">
        <v>4</v>
      </c>
      <c r="I460">
        <v>36.43</v>
      </c>
      <c r="J460">
        <v>17.579999999999998</v>
      </c>
      <c r="K460" t="s">
        <v>18</v>
      </c>
      <c r="L460">
        <v>10</v>
      </c>
      <c r="M460">
        <v>8</v>
      </c>
      <c r="N460" t="s">
        <v>19</v>
      </c>
      <c r="O460">
        <f t="shared" si="14"/>
        <v>454.01</v>
      </c>
      <c r="P460" t="str">
        <f t="shared" si="15"/>
        <v>May</v>
      </c>
    </row>
    <row r="461" spans="1:16" x14ac:dyDescent="0.25">
      <c r="A461" t="s">
        <v>493</v>
      </c>
      <c r="B461">
        <v>50</v>
      </c>
      <c r="C461" t="s">
        <v>38</v>
      </c>
      <c r="D461" t="s">
        <v>36</v>
      </c>
      <c r="E461" s="2">
        <v>45840</v>
      </c>
      <c r="F461" t="s">
        <v>29</v>
      </c>
      <c r="G461">
        <v>100</v>
      </c>
      <c r="H461">
        <v>2</v>
      </c>
      <c r="I461">
        <v>29.53</v>
      </c>
      <c r="J461">
        <v>46.159499999999987</v>
      </c>
      <c r="K461" t="s">
        <v>18</v>
      </c>
      <c r="L461">
        <v>7.9</v>
      </c>
      <c r="M461">
        <v>8</v>
      </c>
      <c r="N461" t="s">
        <v>19</v>
      </c>
      <c r="O461">
        <f t="shared" si="14"/>
        <v>275.68950000000001</v>
      </c>
      <c r="P461" t="str">
        <f t="shared" si="15"/>
        <v>July</v>
      </c>
    </row>
    <row r="462" spans="1:16" x14ac:dyDescent="0.25">
      <c r="A462" t="s">
        <v>494</v>
      </c>
      <c r="B462">
        <v>25</v>
      </c>
      <c r="C462" t="s">
        <v>15</v>
      </c>
      <c r="D462" t="s">
        <v>16</v>
      </c>
      <c r="E462" s="2">
        <v>45851</v>
      </c>
      <c r="F462" t="s">
        <v>29</v>
      </c>
      <c r="G462">
        <v>100</v>
      </c>
      <c r="H462">
        <v>1</v>
      </c>
      <c r="I462">
        <v>84.75</v>
      </c>
      <c r="J462">
        <v>27.55</v>
      </c>
      <c r="K462" t="s">
        <v>18</v>
      </c>
      <c r="L462">
        <v>7</v>
      </c>
      <c r="M462">
        <v>7</v>
      </c>
      <c r="N462" t="s">
        <v>34</v>
      </c>
      <c r="O462">
        <f t="shared" si="14"/>
        <v>212.3</v>
      </c>
      <c r="P462" t="str">
        <f t="shared" si="15"/>
        <v>July</v>
      </c>
    </row>
    <row r="463" spans="1:16" x14ac:dyDescent="0.25">
      <c r="A463" t="s">
        <v>495</v>
      </c>
      <c r="B463">
        <v>61</v>
      </c>
      <c r="C463" t="s">
        <v>21</v>
      </c>
      <c r="D463" t="s">
        <v>27</v>
      </c>
      <c r="E463" s="2">
        <v>45772</v>
      </c>
      <c r="F463" t="s">
        <v>29</v>
      </c>
      <c r="G463">
        <v>100</v>
      </c>
      <c r="H463">
        <v>4</v>
      </c>
      <c r="I463">
        <v>15.28</v>
      </c>
      <c r="J463">
        <v>12.02</v>
      </c>
      <c r="K463" t="s">
        <v>24</v>
      </c>
      <c r="L463">
        <v>8.4</v>
      </c>
      <c r="M463">
        <v>9</v>
      </c>
      <c r="N463" t="s">
        <v>25</v>
      </c>
      <c r="O463">
        <f t="shared" si="14"/>
        <v>427.29999999999995</v>
      </c>
      <c r="P463" t="str">
        <f t="shared" si="15"/>
        <v>April</v>
      </c>
    </row>
    <row r="464" spans="1:16" x14ac:dyDescent="0.25">
      <c r="A464" t="s">
        <v>496</v>
      </c>
      <c r="B464">
        <v>61</v>
      </c>
      <c r="C464" t="s">
        <v>15</v>
      </c>
      <c r="D464" t="s">
        <v>40</v>
      </c>
      <c r="E464" s="2">
        <v>45829</v>
      </c>
      <c r="F464" t="s">
        <v>29</v>
      </c>
      <c r="G464">
        <v>100</v>
      </c>
      <c r="H464">
        <v>4</v>
      </c>
      <c r="I464">
        <v>18.48</v>
      </c>
      <c r="J464">
        <v>46.159499999999987</v>
      </c>
      <c r="K464" t="s">
        <v>18</v>
      </c>
      <c r="L464">
        <v>7.3</v>
      </c>
      <c r="M464">
        <v>8</v>
      </c>
      <c r="N464" t="s">
        <v>25</v>
      </c>
      <c r="O464">
        <f t="shared" si="14"/>
        <v>464.6395</v>
      </c>
      <c r="P464" t="str">
        <f t="shared" si="15"/>
        <v>June</v>
      </c>
    </row>
    <row r="465" spans="1:16" x14ac:dyDescent="0.25">
      <c r="A465" t="s">
        <v>497</v>
      </c>
      <c r="B465">
        <v>22</v>
      </c>
      <c r="C465" t="s">
        <v>21</v>
      </c>
      <c r="D465" t="s">
        <v>33</v>
      </c>
      <c r="E465" s="2">
        <v>45815</v>
      </c>
      <c r="F465" t="s">
        <v>23</v>
      </c>
      <c r="G465">
        <v>150</v>
      </c>
      <c r="H465">
        <v>3</v>
      </c>
      <c r="I465">
        <v>91.39</v>
      </c>
      <c r="J465">
        <v>27.05</v>
      </c>
      <c r="K465" t="s">
        <v>24</v>
      </c>
      <c r="L465">
        <v>7.1</v>
      </c>
      <c r="M465">
        <v>8</v>
      </c>
      <c r="N465" t="s">
        <v>34</v>
      </c>
      <c r="O465">
        <f t="shared" si="14"/>
        <v>568.43999999999994</v>
      </c>
      <c r="P465" t="str">
        <f t="shared" si="15"/>
        <v>June</v>
      </c>
    </row>
    <row r="466" spans="1:16" x14ac:dyDescent="0.25">
      <c r="A466" t="s">
        <v>498</v>
      </c>
      <c r="B466">
        <v>56</v>
      </c>
      <c r="C466" t="s">
        <v>15</v>
      </c>
      <c r="D466" t="s">
        <v>27</v>
      </c>
      <c r="E466" s="2">
        <v>45786</v>
      </c>
      <c r="F466" t="s">
        <v>17</v>
      </c>
      <c r="G466">
        <v>200</v>
      </c>
      <c r="H466">
        <v>4</v>
      </c>
      <c r="I466">
        <v>64.38</v>
      </c>
      <c r="J466">
        <v>9.1199999999999992</v>
      </c>
      <c r="K466" t="s">
        <v>18</v>
      </c>
      <c r="L466">
        <v>9.1999999999999993</v>
      </c>
      <c r="M466">
        <v>10</v>
      </c>
      <c r="N466" t="s">
        <v>19</v>
      </c>
      <c r="O466">
        <f t="shared" si="14"/>
        <v>873.5</v>
      </c>
      <c r="P466" t="str">
        <f t="shared" si="15"/>
        <v>May</v>
      </c>
    </row>
    <row r="467" spans="1:16" x14ac:dyDescent="0.25">
      <c r="A467" t="s">
        <v>499</v>
      </c>
      <c r="B467">
        <v>21</v>
      </c>
      <c r="C467" t="s">
        <v>21</v>
      </c>
      <c r="D467" t="s">
        <v>52</v>
      </c>
      <c r="E467" s="2">
        <v>45784</v>
      </c>
      <c r="F467" t="s">
        <v>17</v>
      </c>
      <c r="G467">
        <v>200</v>
      </c>
      <c r="H467">
        <v>4</v>
      </c>
      <c r="I467">
        <v>21.4</v>
      </c>
      <c r="J467">
        <v>8.35</v>
      </c>
      <c r="K467" t="s">
        <v>24</v>
      </c>
      <c r="L467">
        <v>10</v>
      </c>
      <c r="M467">
        <v>8</v>
      </c>
      <c r="N467" t="s">
        <v>34</v>
      </c>
      <c r="O467">
        <f t="shared" si="14"/>
        <v>829.75</v>
      </c>
      <c r="P467" t="str">
        <f t="shared" si="15"/>
        <v>May</v>
      </c>
    </row>
    <row r="468" spans="1:16" x14ac:dyDescent="0.25">
      <c r="A468" t="s">
        <v>500</v>
      </c>
      <c r="B468">
        <v>23</v>
      </c>
      <c r="C468" t="s">
        <v>21</v>
      </c>
      <c r="D468" t="s">
        <v>33</v>
      </c>
      <c r="E468" s="2">
        <v>45857</v>
      </c>
      <c r="F468" t="s">
        <v>23</v>
      </c>
      <c r="G468">
        <v>150</v>
      </c>
      <c r="H468">
        <v>4</v>
      </c>
      <c r="I468">
        <v>54.39</v>
      </c>
      <c r="J468">
        <v>28.26</v>
      </c>
      <c r="K468" t="s">
        <v>18</v>
      </c>
      <c r="L468">
        <v>7.6</v>
      </c>
      <c r="M468">
        <v>10</v>
      </c>
      <c r="N468" t="s">
        <v>34</v>
      </c>
      <c r="O468">
        <f t="shared" si="14"/>
        <v>682.65</v>
      </c>
      <c r="P468" t="str">
        <f t="shared" si="15"/>
        <v>July</v>
      </c>
    </row>
    <row r="469" spans="1:16" x14ac:dyDescent="0.25">
      <c r="A469" t="s">
        <v>501</v>
      </c>
      <c r="B469">
        <v>62</v>
      </c>
      <c r="C469" t="s">
        <v>38</v>
      </c>
      <c r="D469" t="s">
        <v>40</v>
      </c>
      <c r="E469" s="2">
        <v>45901</v>
      </c>
      <c r="F469" t="s">
        <v>17</v>
      </c>
      <c r="G469">
        <v>200</v>
      </c>
      <c r="H469">
        <v>4</v>
      </c>
      <c r="I469">
        <v>24.12</v>
      </c>
      <c r="J469">
        <v>16.38</v>
      </c>
      <c r="K469" t="s">
        <v>18</v>
      </c>
      <c r="L469">
        <v>6.5</v>
      </c>
      <c r="M469">
        <v>7</v>
      </c>
      <c r="N469" t="s">
        <v>25</v>
      </c>
      <c r="O469">
        <f t="shared" si="14"/>
        <v>840.5</v>
      </c>
      <c r="P469" t="str">
        <f t="shared" si="15"/>
        <v>September</v>
      </c>
    </row>
    <row r="470" spans="1:16" x14ac:dyDescent="0.25">
      <c r="A470" t="s">
        <v>502</v>
      </c>
      <c r="B470">
        <v>49</v>
      </c>
      <c r="C470" t="s">
        <v>15</v>
      </c>
      <c r="D470" t="s">
        <v>36</v>
      </c>
      <c r="E470" s="2">
        <v>45814</v>
      </c>
      <c r="F470" t="s">
        <v>29</v>
      </c>
      <c r="G470">
        <v>100</v>
      </c>
      <c r="H470">
        <v>3</v>
      </c>
      <c r="I470">
        <v>52.77</v>
      </c>
      <c r="J470">
        <v>5.67</v>
      </c>
      <c r="K470" t="s">
        <v>24</v>
      </c>
      <c r="L470">
        <v>7.8</v>
      </c>
      <c r="M470">
        <v>6</v>
      </c>
      <c r="N470" t="s">
        <v>19</v>
      </c>
      <c r="O470">
        <f t="shared" si="14"/>
        <v>358.44</v>
      </c>
      <c r="P470" t="str">
        <f t="shared" si="15"/>
        <v>June</v>
      </c>
    </row>
    <row r="471" spans="1:16" x14ac:dyDescent="0.25">
      <c r="A471" t="s">
        <v>503</v>
      </c>
      <c r="B471">
        <v>69</v>
      </c>
      <c r="C471" t="s">
        <v>21</v>
      </c>
      <c r="D471" t="s">
        <v>16</v>
      </c>
      <c r="E471" s="2">
        <v>45749</v>
      </c>
      <c r="F471" t="s">
        <v>23</v>
      </c>
      <c r="G471">
        <v>150</v>
      </c>
      <c r="H471">
        <v>2</v>
      </c>
      <c r="I471">
        <v>47.9</v>
      </c>
      <c r="J471">
        <v>14.86</v>
      </c>
      <c r="K471" t="s">
        <v>18</v>
      </c>
      <c r="L471">
        <v>8.8000000000000007</v>
      </c>
      <c r="M471">
        <v>8</v>
      </c>
      <c r="N471" t="s">
        <v>25</v>
      </c>
      <c r="O471">
        <f t="shared" si="14"/>
        <v>362.76</v>
      </c>
      <c r="P471" t="str">
        <f t="shared" si="15"/>
        <v>April</v>
      </c>
    </row>
    <row r="472" spans="1:16" x14ac:dyDescent="0.25">
      <c r="A472" t="s">
        <v>504</v>
      </c>
      <c r="B472">
        <v>47</v>
      </c>
      <c r="C472" t="s">
        <v>21</v>
      </c>
      <c r="D472" t="s">
        <v>27</v>
      </c>
      <c r="E472" s="2">
        <v>45685</v>
      </c>
      <c r="F472" t="s">
        <v>41</v>
      </c>
      <c r="G472">
        <v>60</v>
      </c>
      <c r="H472">
        <v>2</v>
      </c>
      <c r="I472">
        <v>34.04</v>
      </c>
      <c r="J472">
        <v>10.37</v>
      </c>
      <c r="K472" t="s">
        <v>18</v>
      </c>
      <c r="L472">
        <v>8.4</v>
      </c>
      <c r="M472">
        <v>4</v>
      </c>
      <c r="N472" t="s">
        <v>19</v>
      </c>
      <c r="O472">
        <f t="shared" si="14"/>
        <v>164.41</v>
      </c>
      <c r="P472" t="str">
        <f t="shared" si="15"/>
        <v>January</v>
      </c>
    </row>
    <row r="473" spans="1:16" x14ac:dyDescent="0.25">
      <c r="A473" t="s">
        <v>505</v>
      </c>
      <c r="B473">
        <v>64</v>
      </c>
      <c r="C473" t="s">
        <v>15</v>
      </c>
      <c r="D473" t="s">
        <v>40</v>
      </c>
      <c r="E473" s="2">
        <v>45858</v>
      </c>
      <c r="F473" t="s">
        <v>17</v>
      </c>
      <c r="G473">
        <v>200</v>
      </c>
      <c r="H473">
        <v>1</v>
      </c>
      <c r="I473">
        <v>34.119999999999997</v>
      </c>
      <c r="J473">
        <v>7.44</v>
      </c>
      <c r="K473" t="s">
        <v>18</v>
      </c>
      <c r="L473">
        <v>9.8000000000000007</v>
      </c>
      <c r="M473">
        <v>9</v>
      </c>
      <c r="N473" t="s">
        <v>25</v>
      </c>
      <c r="O473">
        <f t="shared" si="14"/>
        <v>241.56</v>
      </c>
      <c r="P473" t="str">
        <f t="shared" si="15"/>
        <v>July</v>
      </c>
    </row>
    <row r="474" spans="1:16" x14ac:dyDescent="0.25">
      <c r="A474" t="s">
        <v>506</v>
      </c>
      <c r="B474">
        <v>52</v>
      </c>
      <c r="C474" t="s">
        <v>15</v>
      </c>
      <c r="D474" t="s">
        <v>33</v>
      </c>
      <c r="E474" s="2">
        <v>45793</v>
      </c>
      <c r="F474" t="s">
        <v>23</v>
      </c>
      <c r="G474">
        <v>150</v>
      </c>
      <c r="H474">
        <v>4</v>
      </c>
      <c r="I474">
        <v>19.68</v>
      </c>
      <c r="J474">
        <v>12.83</v>
      </c>
      <c r="K474" t="s">
        <v>24</v>
      </c>
      <c r="L474">
        <v>9</v>
      </c>
      <c r="M474">
        <v>6</v>
      </c>
      <c r="N474" t="s">
        <v>19</v>
      </c>
      <c r="O474">
        <f t="shared" si="14"/>
        <v>632.51</v>
      </c>
      <c r="P474" t="str">
        <f t="shared" si="15"/>
        <v>May</v>
      </c>
    </row>
    <row r="475" spans="1:16" x14ac:dyDescent="0.25">
      <c r="A475" t="s">
        <v>507</v>
      </c>
      <c r="B475">
        <v>57</v>
      </c>
      <c r="C475" t="s">
        <v>15</v>
      </c>
      <c r="D475" t="s">
        <v>52</v>
      </c>
      <c r="E475" s="2">
        <v>45693</v>
      </c>
      <c r="F475" t="s">
        <v>41</v>
      </c>
      <c r="G475">
        <v>60</v>
      </c>
      <c r="H475">
        <v>3</v>
      </c>
      <c r="I475">
        <v>37.1</v>
      </c>
      <c r="J475">
        <v>15.64</v>
      </c>
      <c r="K475" t="s">
        <v>24</v>
      </c>
      <c r="L475">
        <v>6.3</v>
      </c>
      <c r="M475">
        <v>7</v>
      </c>
      <c r="N475" t="s">
        <v>19</v>
      </c>
      <c r="O475">
        <f t="shared" si="14"/>
        <v>232.74</v>
      </c>
      <c r="P475" t="str">
        <f t="shared" si="15"/>
        <v>February</v>
      </c>
    </row>
    <row r="476" spans="1:16" x14ac:dyDescent="0.25">
      <c r="A476" t="s">
        <v>508</v>
      </c>
      <c r="B476">
        <v>69</v>
      </c>
      <c r="C476" t="s">
        <v>21</v>
      </c>
      <c r="D476" t="s">
        <v>40</v>
      </c>
      <c r="E476" s="2">
        <v>45781</v>
      </c>
      <c r="F476" t="s">
        <v>29</v>
      </c>
      <c r="G476">
        <v>100</v>
      </c>
      <c r="H476">
        <v>1</v>
      </c>
      <c r="I476">
        <v>133.33000000000001</v>
      </c>
      <c r="J476">
        <v>42.4</v>
      </c>
      <c r="K476" t="s">
        <v>18</v>
      </c>
      <c r="L476">
        <v>7.3</v>
      </c>
      <c r="M476">
        <v>9</v>
      </c>
      <c r="N476" t="s">
        <v>25</v>
      </c>
      <c r="O476">
        <f t="shared" si="14"/>
        <v>275.73</v>
      </c>
      <c r="P476" t="str">
        <f t="shared" si="15"/>
        <v>May</v>
      </c>
    </row>
    <row r="477" spans="1:16" x14ac:dyDescent="0.25">
      <c r="A477" t="s">
        <v>509</v>
      </c>
      <c r="B477">
        <v>33</v>
      </c>
      <c r="C477" t="s">
        <v>21</v>
      </c>
      <c r="D477" t="s">
        <v>22</v>
      </c>
      <c r="E477" s="2">
        <v>45897</v>
      </c>
      <c r="F477" t="s">
        <v>17</v>
      </c>
      <c r="G477">
        <v>200</v>
      </c>
      <c r="H477">
        <v>1</v>
      </c>
      <c r="I477">
        <v>50.35</v>
      </c>
      <c r="J477">
        <v>30.47</v>
      </c>
      <c r="K477" t="s">
        <v>18</v>
      </c>
      <c r="L477">
        <v>5.9</v>
      </c>
      <c r="M477">
        <v>8</v>
      </c>
      <c r="N477" t="s">
        <v>30</v>
      </c>
      <c r="O477">
        <f t="shared" si="14"/>
        <v>280.82</v>
      </c>
      <c r="P477" t="str">
        <f t="shared" si="15"/>
        <v>August</v>
      </c>
    </row>
    <row r="478" spans="1:16" x14ac:dyDescent="0.25">
      <c r="A478" t="s">
        <v>510</v>
      </c>
      <c r="B478">
        <v>30</v>
      </c>
      <c r="C478" t="s">
        <v>21</v>
      </c>
      <c r="D478" t="s">
        <v>52</v>
      </c>
      <c r="E478" s="2">
        <v>45685</v>
      </c>
      <c r="F478" t="s">
        <v>41</v>
      </c>
      <c r="G478">
        <v>60</v>
      </c>
      <c r="H478">
        <v>2</v>
      </c>
      <c r="I478">
        <v>137.36850000000001</v>
      </c>
      <c r="J478">
        <v>14.47</v>
      </c>
      <c r="K478" t="s">
        <v>24</v>
      </c>
      <c r="L478">
        <v>9.6999999999999993</v>
      </c>
      <c r="M478">
        <v>7</v>
      </c>
      <c r="N478" t="s">
        <v>30</v>
      </c>
      <c r="O478">
        <f t="shared" si="14"/>
        <v>271.83850000000007</v>
      </c>
      <c r="P478" t="str">
        <f t="shared" si="15"/>
        <v>January</v>
      </c>
    </row>
    <row r="479" spans="1:16" x14ac:dyDescent="0.25">
      <c r="A479" t="s">
        <v>511</v>
      </c>
      <c r="B479">
        <v>67</v>
      </c>
      <c r="C479" t="s">
        <v>15</v>
      </c>
      <c r="D479" t="s">
        <v>33</v>
      </c>
      <c r="E479" s="2">
        <v>45729</v>
      </c>
      <c r="F479" t="s">
        <v>41</v>
      </c>
      <c r="G479">
        <v>60</v>
      </c>
      <c r="H479">
        <v>3</v>
      </c>
      <c r="I479">
        <v>9.1999999999999993</v>
      </c>
      <c r="J479">
        <v>2.39</v>
      </c>
      <c r="K479" t="s">
        <v>18</v>
      </c>
      <c r="L479">
        <v>5</v>
      </c>
      <c r="M479">
        <v>5</v>
      </c>
      <c r="N479" t="s">
        <v>25</v>
      </c>
      <c r="O479">
        <f t="shared" si="14"/>
        <v>191.58999999999997</v>
      </c>
      <c r="P479" t="str">
        <f t="shared" si="15"/>
        <v>March</v>
      </c>
    </row>
    <row r="480" spans="1:16" x14ac:dyDescent="0.25">
      <c r="A480" t="s">
        <v>512</v>
      </c>
      <c r="B480">
        <v>59</v>
      </c>
      <c r="C480" t="s">
        <v>15</v>
      </c>
      <c r="D480" t="s">
        <v>36</v>
      </c>
      <c r="E480" s="2">
        <v>45773</v>
      </c>
      <c r="F480" t="s">
        <v>23</v>
      </c>
      <c r="G480">
        <v>150</v>
      </c>
      <c r="H480">
        <v>3</v>
      </c>
      <c r="I480">
        <v>32.11</v>
      </c>
      <c r="J480">
        <v>7.72</v>
      </c>
      <c r="K480" t="s">
        <v>24</v>
      </c>
      <c r="L480">
        <v>6.1</v>
      </c>
      <c r="M480">
        <v>10</v>
      </c>
      <c r="N480" t="s">
        <v>19</v>
      </c>
      <c r="O480">
        <f t="shared" si="14"/>
        <v>489.83000000000004</v>
      </c>
      <c r="P480" t="str">
        <f t="shared" si="15"/>
        <v>April</v>
      </c>
    </row>
    <row r="481" spans="1:16" x14ac:dyDescent="0.25">
      <c r="A481" t="s">
        <v>513</v>
      </c>
      <c r="B481">
        <v>47</v>
      </c>
      <c r="C481" t="s">
        <v>15</v>
      </c>
      <c r="D481" t="s">
        <v>16</v>
      </c>
      <c r="E481" s="2">
        <v>45838</v>
      </c>
      <c r="F481" t="s">
        <v>23</v>
      </c>
      <c r="G481">
        <v>150</v>
      </c>
      <c r="H481">
        <v>3</v>
      </c>
      <c r="I481">
        <v>74.75</v>
      </c>
      <c r="J481">
        <v>14.32</v>
      </c>
      <c r="K481" t="s">
        <v>18</v>
      </c>
      <c r="L481">
        <v>7.2</v>
      </c>
      <c r="M481">
        <v>9</v>
      </c>
      <c r="N481" t="s">
        <v>19</v>
      </c>
      <c r="O481">
        <f t="shared" si="14"/>
        <v>539.07000000000005</v>
      </c>
      <c r="P481" t="str">
        <f t="shared" si="15"/>
        <v>June</v>
      </c>
    </row>
    <row r="482" spans="1:16" x14ac:dyDescent="0.25">
      <c r="A482" t="s">
        <v>514</v>
      </c>
      <c r="B482">
        <v>36</v>
      </c>
      <c r="C482" t="s">
        <v>38</v>
      </c>
      <c r="D482" t="s">
        <v>33</v>
      </c>
      <c r="E482" s="2">
        <v>45705</v>
      </c>
      <c r="F482" t="s">
        <v>41</v>
      </c>
      <c r="G482">
        <v>60</v>
      </c>
      <c r="H482">
        <v>2</v>
      </c>
      <c r="I482">
        <v>137.36850000000001</v>
      </c>
      <c r="J482">
        <v>4.4400000000000004</v>
      </c>
      <c r="K482" t="s">
        <v>24</v>
      </c>
      <c r="L482">
        <v>8.8000000000000007</v>
      </c>
      <c r="M482">
        <v>10</v>
      </c>
      <c r="N482" t="s">
        <v>30</v>
      </c>
      <c r="O482">
        <f t="shared" si="14"/>
        <v>261.80850000000004</v>
      </c>
      <c r="P482" t="str">
        <f t="shared" si="15"/>
        <v>February</v>
      </c>
    </row>
    <row r="483" spans="1:16" x14ac:dyDescent="0.25">
      <c r="A483" t="s">
        <v>515</v>
      </c>
      <c r="B483">
        <v>34</v>
      </c>
      <c r="C483" t="s">
        <v>15</v>
      </c>
      <c r="D483" t="s">
        <v>36</v>
      </c>
      <c r="E483" s="2">
        <v>45892</v>
      </c>
      <c r="F483" t="s">
        <v>29</v>
      </c>
      <c r="G483">
        <v>100</v>
      </c>
      <c r="H483">
        <v>2</v>
      </c>
      <c r="I483">
        <v>12.93</v>
      </c>
      <c r="J483">
        <v>11.4</v>
      </c>
      <c r="K483" t="s">
        <v>24</v>
      </c>
      <c r="L483">
        <v>7.2</v>
      </c>
      <c r="M483">
        <v>7</v>
      </c>
      <c r="N483" t="s">
        <v>30</v>
      </c>
      <c r="O483">
        <f t="shared" si="14"/>
        <v>224.33</v>
      </c>
      <c r="P483" t="str">
        <f t="shared" si="15"/>
        <v>August</v>
      </c>
    </row>
    <row r="484" spans="1:16" x14ac:dyDescent="0.25">
      <c r="A484" t="s">
        <v>516</v>
      </c>
      <c r="B484">
        <v>36</v>
      </c>
      <c r="C484" t="s">
        <v>15</v>
      </c>
      <c r="D484" t="s">
        <v>27</v>
      </c>
      <c r="E484" s="2">
        <v>45879</v>
      </c>
      <c r="F484" t="s">
        <v>29</v>
      </c>
      <c r="G484">
        <v>100</v>
      </c>
      <c r="H484">
        <v>2</v>
      </c>
      <c r="I484">
        <v>48.63</v>
      </c>
      <c r="J484">
        <v>23.13</v>
      </c>
      <c r="K484" t="s">
        <v>24</v>
      </c>
      <c r="L484">
        <v>7.5</v>
      </c>
      <c r="M484">
        <v>6</v>
      </c>
      <c r="N484" t="s">
        <v>30</v>
      </c>
      <c r="O484">
        <f t="shared" si="14"/>
        <v>271.76</v>
      </c>
      <c r="P484" t="str">
        <f t="shared" si="15"/>
        <v>August</v>
      </c>
    </row>
    <row r="485" spans="1:16" x14ac:dyDescent="0.25">
      <c r="A485" t="s">
        <v>517</v>
      </c>
      <c r="B485">
        <v>45</v>
      </c>
      <c r="C485" t="s">
        <v>15</v>
      </c>
      <c r="D485" t="s">
        <v>40</v>
      </c>
      <c r="E485" s="2">
        <v>45682</v>
      </c>
      <c r="F485" t="s">
        <v>41</v>
      </c>
      <c r="G485">
        <v>60</v>
      </c>
      <c r="H485">
        <v>2</v>
      </c>
      <c r="I485">
        <v>70.03</v>
      </c>
      <c r="J485">
        <v>22.2</v>
      </c>
      <c r="K485" t="s">
        <v>18</v>
      </c>
      <c r="L485">
        <v>7.5</v>
      </c>
      <c r="M485">
        <v>10</v>
      </c>
      <c r="N485" t="s">
        <v>19</v>
      </c>
      <c r="O485">
        <f t="shared" si="14"/>
        <v>212.23</v>
      </c>
      <c r="P485" t="str">
        <f t="shared" si="15"/>
        <v>January</v>
      </c>
    </row>
    <row r="486" spans="1:16" x14ac:dyDescent="0.25">
      <c r="A486" t="s">
        <v>518</v>
      </c>
      <c r="B486">
        <v>43</v>
      </c>
      <c r="C486" t="s">
        <v>21</v>
      </c>
      <c r="D486" t="s">
        <v>22</v>
      </c>
      <c r="E486" s="2">
        <v>45839</v>
      </c>
      <c r="F486" t="s">
        <v>23</v>
      </c>
      <c r="G486">
        <v>150</v>
      </c>
      <c r="H486">
        <v>2</v>
      </c>
      <c r="I486">
        <v>119.77</v>
      </c>
      <c r="J486">
        <v>8.33</v>
      </c>
      <c r="K486" t="s">
        <v>18</v>
      </c>
      <c r="L486">
        <v>8.3000000000000007</v>
      </c>
      <c r="M486">
        <v>8</v>
      </c>
      <c r="N486" t="s">
        <v>19</v>
      </c>
      <c r="O486">
        <f t="shared" si="14"/>
        <v>428.09999999999997</v>
      </c>
      <c r="P486" t="str">
        <f t="shared" si="15"/>
        <v>July</v>
      </c>
    </row>
    <row r="487" spans="1:16" x14ac:dyDescent="0.25">
      <c r="A487" t="s">
        <v>519</v>
      </c>
      <c r="B487">
        <v>54</v>
      </c>
      <c r="C487" t="s">
        <v>38</v>
      </c>
      <c r="D487" t="s">
        <v>52</v>
      </c>
      <c r="E487" s="2">
        <v>45864</v>
      </c>
      <c r="F487" t="s">
        <v>29</v>
      </c>
      <c r="G487">
        <v>100</v>
      </c>
      <c r="H487">
        <v>4</v>
      </c>
      <c r="I487">
        <v>32.43</v>
      </c>
      <c r="J487">
        <v>13.42</v>
      </c>
      <c r="K487" t="s">
        <v>18</v>
      </c>
      <c r="L487">
        <v>6.2</v>
      </c>
      <c r="M487">
        <v>9</v>
      </c>
      <c r="N487" t="s">
        <v>19</v>
      </c>
      <c r="O487">
        <f t="shared" si="14"/>
        <v>445.85</v>
      </c>
      <c r="P487" t="str">
        <f t="shared" si="15"/>
        <v>July</v>
      </c>
    </row>
    <row r="488" spans="1:16" x14ac:dyDescent="0.25">
      <c r="A488" t="s">
        <v>520</v>
      </c>
      <c r="B488">
        <v>43</v>
      </c>
      <c r="C488" t="s">
        <v>21</v>
      </c>
      <c r="D488" t="s">
        <v>52</v>
      </c>
      <c r="E488" s="2">
        <v>45730</v>
      </c>
      <c r="F488" t="s">
        <v>23</v>
      </c>
      <c r="G488">
        <v>150</v>
      </c>
      <c r="H488">
        <v>4</v>
      </c>
      <c r="I488">
        <v>40.21</v>
      </c>
      <c r="J488">
        <v>13.38</v>
      </c>
      <c r="K488" t="s">
        <v>18</v>
      </c>
      <c r="L488">
        <v>6.6</v>
      </c>
      <c r="M488">
        <v>10</v>
      </c>
      <c r="N488" t="s">
        <v>19</v>
      </c>
      <c r="O488">
        <f t="shared" si="14"/>
        <v>653.59</v>
      </c>
      <c r="P488" t="str">
        <f t="shared" si="15"/>
        <v>March</v>
      </c>
    </row>
    <row r="489" spans="1:16" x14ac:dyDescent="0.25">
      <c r="A489" t="s">
        <v>521</v>
      </c>
      <c r="B489">
        <v>40</v>
      </c>
      <c r="C489" t="s">
        <v>21</v>
      </c>
      <c r="D489" t="s">
        <v>40</v>
      </c>
      <c r="E489" s="2">
        <v>45817</v>
      </c>
      <c r="F489" t="s">
        <v>41</v>
      </c>
      <c r="G489">
        <v>60</v>
      </c>
      <c r="H489">
        <v>3</v>
      </c>
      <c r="I489">
        <v>20.28</v>
      </c>
      <c r="J489">
        <v>34.520000000000003</v>
      </c>
      <c r="K489" t="s">
        <v>18</v>
      </c>
      <c r="L489">
        <v>10</v>
      </c>
      <c r="M489">
        <v>9</v>
      </c>
      <c r="N489" t="s">
        <v>19</v>
      </c>
      <c r="O489">
        <f t="shared" si="14"/>
        <v>234.8</v>
      </c>
      <c r="P489" t="str">
        <f t="shared" si="15"/>
        <v>June</v>
      </c>
    </row>
    <row r="490" spans="1:16" x14ac:dyDescent="0.25">
      <c r="A490" t="s">
        <v>522</v>
      </c>
      <c r="B490">
        <v>26</v>
      </c>
      <c r="C490" t="s">
        <v>21</v>
      </c>
      <c r="D490" t="s">
        <v>22</v>
      </c>
      <c r="E490" s="2">
        <v>45821</v>
      </c>
      <c r="F490" t="s">
        <v>29</v>
      </c>
      <c r="G490">
        <v>100</v>
      </c>
      <c r="H490">
        <v>1</v>
      </c>
      <c r="I490">
        <v>37.83</v>
      </c>
      <c r="J490">
        <v>21.02</v>
      </c>
      <c r="K490" t="s">
        <v>18</v>
      </c>
      <c r="L490">
        <v>8.6</v>
      </c>
      <c r="M490">
        <v>8</v>
      </c>
      <c r="N490" t="s">
        <v>34</v>
      </c>
      <c r="O490">
        <f t="shared" si="14"/>
        <v>158.85</v>
      </c>
      <c r="P490" t="str">
        <f t="shared" si="15"/>
        <v>June</v>
      </c>
    </row>
    <row r="491" spans="1:16" x14ac:dyDescent="0.25">
      <c r="A491" t="s">
        <v>523</v>
      </c>
      <c r="B491">
        <v>29</v>
      </c>
      <c r="C491" t="s">
        <v>15</v>
      </c>
      <c r="D491" t="s">
        <v>40</v>
      </c>
      <c r="E491" s="2">
        <v>45768</v>
      </c>
      <c r="F491" t="s">
        <v>29</v>
      </c>
      <c r="G491">
        <v>100</v>
      </c>
      <c r="H491">
        <v>3</v>
      </c>
      <c r="I491">
        <v>44.02</v>
      </c>
      <c r="J491">
        <v>7.65</v>
      </c>
      <c r="K491" t="s">
        <v>24</v>
      </c>
      <c r="L491">
        <v>9.1</v>
      </c>
      <c r="M491">
        <v>8</v>
      </c>
      <c r="N491" t="s">
        <v>34</v>
      </c>
      <c r="O491">
        <f t="shared" si="14"/>
        <v>351.66999999999996</v>
      </c>
      <c r="P491" t="str">
        <f t="shared" si="15"/>
        <v>April</v>
      </c>
    </row>
    <row r="492" spans="1:16" x14ac:dyDescent="0.25">
      <c r="A492" t="s">
        <v>524</v>
      </c>
      <c r="B492">
        <v>18</v>
      </c>
      <c r="C492" t="s">
        <v>38</v>
      </c>
      <c r="D492" t="s">
        <v>27</v>
      </c>
      <c r="E492" s="2">
        <v>45842</v>
      </c>
      <c r="F492" t="s">
        <v>23</v>
      </c>
      <c r="G492">
        <v>150</v>
      </c>
      <c r="H492">
        <v>1</v>
      </c>
      <c r="I492">
        <v>67.38</v>
      </c>
      <c r="J492">
        <v>15.69</v>
      </c>
      <c r="K492" t="s">
        <v>18</v>
      </c>
      <c r="L492">
        <v>8.1</v>
      </c>
      <c r="M492">
        <v>6</v>
      </c>
      <c r="N492" t="s">
        <v>34</v>
      </c>
      <c r="O492">
        <f t="shared" si="14"/>
        <v>233.07</v>
      </c>
      <c r="P492" t="str">
        <f t="shared" si="15"/>
        <v>July</v>
      </c>
    </row>
    <row r="493" spans="1:16" x14ac:dyDescent="0.25">
      <c r="A493" t="s">
        <v>525</v>
      </c>
      <c r="B493">
        <v>18</v>
      </c>
      <c r="C493" t="s">
        <v>21</v>
      </c>
      <c r="D493" t="s">
        <v>36</v>
      </c>
      <c r="E493" s="2">
        <v>45866</v>
      </c>
      <c r="F493" t="s">
        <v>23</v>
      </c>
      <c r="G493">
        <v>150</v>
      </c>
      <c r="H493">
        <v>2</v>
      </c>
      <c r="I493">
        <v>85.67</v>
      </c>
      <c r="J493">
        <v>17.64</v>
      </c>
      <c r="K493" t="s">
        <v>18</v>
      </c>
      <c r="L493">
        <v>7.8</v>
      </c>
      <c r="M493">
        <v>10</v>
      </c>
      <c r="N493" t="s">
        <v>34</v>
      </c>
      <c r="O493">
        <f t="shared" si="14"/>
        <v>403.31</v>
      </c>
      <c r="P493" t="str">
        <f t="shared" si="15"/>
        <v>July</v>
      </c>
    </row>
    <row r="494" spans="1:16" x14ac:dyDescent="0.25">
      <c r="A494" t="s">
        <v>526</v>
      </c>
      <c r="B494">
        <v>64</v>
      </c>
      <c r="C494" t="s">
        <v>21</v>
      </c>
      <c r="D494" t="s">
        <v>33</v>
      </c>
      <c r="E494" s="2">
        <v>45892</v>
      </c>
      <c r="F494" t="s">
        <v>29</v>
      </c>
      <c r="G494">
        <v>100</v>
      </c>
      <c r="H494">
        <v>1</v>
      </c>
      <c r="I494">
        <v>15.36</v>
      </c>
      <c r="J494">
        <v>19.93</v>
      </c>
      <c r="K494" t="s">
        <v>18</v>
      </c>
      <c r="L494">
        <v>8.6999999999999993</v>
      </c>
      <c r="M494">
        <v>10</v>
      </c>
      <c r="N494" t="s">
        <v>25</v>
      </c>
      <c r="O494">
        <f t="shared" si="14"/>
        <v>135.29</v>
      </c>
      <c r="P494" t="str">
        <f t="shared" si="15"/>
        <v>August</v>
      </c>
    </row>
    <row r="495" spans="1:16" x14ac:dyDescent="0.25">
      <c r="A495" t="s">
        <v>527</v>
      </c>
      <c r="B495">
        <v>51</v>
      </c>
      <c r="C495" t="s">
        <v>21</v>
      </c>
      <c r="D495" t="s">
        <v>52</v>
      </c>
      <c r="E495" s="2">
        <v>45769</v>
      </c>
      <c r="F495" t="s">
        <v>41</v>
      </c>
      <c r="G495">
        <v>60</v>
      </c>
      <c r="H495">
        <v>3</v>
      </c>
      <c r="I495">
        <v>28.62</v>
      </c>
      <c r="J495">
        <v>10.26</v>
      </c>
      <c r="K495" t="s">
        <v>18</v>
      </c>
      <c r="L495">
        <v>9.1</v>
      </c>
      <c r="M495">
        <v>9</v>
      </c>
      <c r="N495" t="s">
        <v>19</v>
      </c>
      <c r="O495">
        <f t="shared" si="14"/>
        <v>218.88</v>
      </c>
      <c r="P495" t="str">
        <f t="shared" si="15"/>
        <v>April</v>
      </c>
    </row>
    <row r="496" spans="1:16" x14ac:dyDescent="0.25">
      <c r="A496" t="s">
        <v>528</v>
      </c>
      <c r="B496">
        <v>49</v>
      </c>
      <c r="C496" t="s">
        <v>21</v>
      </c>
      <c r="D496" t="s">
        <v>27</v>
      </c>
      <c r="E496" s="2">
        <v>45692</v>
      </c>
      <c r="F496" t="s">
        <v>29</v>
      </c>
      <c r="G496">
        <v>100</v>
      </c>
      <c r="H496">
        <v>3</v>
      </c>
      <c r="I496">
        <v>64.47</v>
      </c>
      <c r="J496">
        <v>25.75</v>
      </c>
      <c r="K496" t="s">
        <v>18</v>
      </c>
      <c r="L496">
        <v>9.3000000000000007</v>
      </c>
      <c r="M496">
        <v>6</v>
      </c>
      <c r="N496" t="s">
        <v>19</v>
      </c>
      <c r="O496">
        <f t="shared" si="14"/>
        <v>390.22</v>
      </c>
      <c r="P496" t="str">
        <f t="shared" si="15"/>
        <v>February</v>
      </c>
    </row>
    <row r="497" spans="1:16" x14ac:dyDescent="0.25">
      <c r="A497" t="s">
        <v>529</v>
      </c>
      <c r="B497">
        <v>65</v>
      </c>
      <c r="C497" t="s">
        <v>21</v>
      </c>
      <c r="D497" t="s">
        <v>36</v>
      </c>
      <c r="E497" s="2">
        <v>45669</v>
      </c>
      <c r="F497" t="s">
        <v>17</v>
      </c>
      <c r="G497">
        <v>200</v>
      </c>
      <c r="H497">
        <v>1</v>
      </c>
      <c r="I497">
        <v>10.18</v>
      </c>
      <c r="J497">
        <v>10.55</v>
      </c>
      <c r="K497" t="s">
        <v>18</v>
      </c>
      <c r="L497">
        <v>7.8</v>
      </c>
      <c r="M497">
        <v>8</v>
      </c>
      <c r="N497" t="s">
        <v>25</v>
      </c>
      <c r="O497">
        <f t="shared" si="14"/>
        <v>220.73000000000002</v>
      </c>
      <c r="P497" t="str">
        <f t="shared" si="15"/>
        <v>January</v>
      </c>
    </row>
    <row r="498" spans="1:16" x14ac:dyDescent="0.25">
      <c r="A498" t="s">
        <v>530</v>
      </c>
      <c r="B498">
        <v>42</v>
      </c>
      <c r="C498" t="s">
        <v>38</v>
      </c>
      <c r="D498" t="s">
        <v>27</v>
      </c>
      <c r="E498" s="2">
        <v>45685</v>
      </c>
      <c r="F498" t="s">
        <v>41</v>
      </c>
      <c r="G498">
        <v>60</v>
      </c>
      <c r="H498">
        <v>4</v>
      </c>
      <c r="I498">
        <v>137.36850000000001</v>
      </c>
      <c r="J498">
        <v>34.950000000000003</v>
      </c>
      <c r="K498" t="s">
        <v>24</v>
      </c>
      <c r="L498">
        <v>9.4</v>
      </c>
      <c r="M498">
        <v>10</v>
      </c>
      <c r="N498" t="s">
        <v>19</v>
      </c>
      <c r="O498">
        <f t="shared" si="14"/>
        <v>412.31850000000003</v>
      </c>
      <c r="P498" t="str">
        <f t="shared" si="15"/>
        <v>January</v>
      </c>
    </row>
    <row r="499" spans="1:16" x14ac:dyDescent="0.25">
      <c r="A499" t="s">
        <v>531</v>
      </c>
      <c r="B499">
        <v>57</v>
      </c>
      <c r="C499" t="s">
        <v>38</v>
      </c>
      <c r="D499" t="s">
        <v>22</v>
      </c>
      <c r="E499" s="2">
        <v>45658</v>
      </c>
      <c r="F499" t="s">
        <v>17</v>
      </c>
      <c r="G499">
        <v>200</v>
      </c>
      <c r="H499">
        <v>2</v>
      </c>
      <c r="I499">
        <v>112.05</v>
      </c>
      <c r="J499">
        <v>19.809999999999999</v>
      </c>
      <c r="K499" t="s">
        <v>18</v>
      </c>
      <c r="L499">
        <v>4.3</v>
      </c>
      <c r="M499">
        <v>7</v>
      </c>
      <c r="N499" t="s">
        <v>19</v>
      </c>
      <c r="O499">
        <f t="shared" si="14"/>
        <v>531.8599999999999</v>
      </c>
      <c r="P499" t="str">
        <f t="shared" si="15"/>
        <v>January</v>
      </c>
    </row>
    <row r="500" spans="1:16" x14ac:dyDescent="0.25">
      <c r="A500" t="s">
        <v>532</v>
      </c>
      <c r="B500">
        <v>62</v>
      </c>
      <c r="C500" t="s">
        <v>21</v>
      </c>
      <c r="D500" t="s">
        <v>52</v>
      </c>
      <c r="E500" s="2">
        <v>45756</v>
      </c>
      <c r="F500" t="s">
        <v>41</v>
      </c>
      <c r="G500">
        <v>60</v>
      </c>
      <c r="H500">
        <v>2</v>
      </c>
      <c r="I500">
        <v>70.900000000000006</v>
      </c>
      <c r="J500">
        <v>16.059999999999999</v>
      </c>
      <c r="K500" t="s">
        <v>18</v>
      </c>
      <c r="L500">
        <v>9.3000000000000007</v>
      </c>
      <c r="M500">
        <v>10</v>
      </c>
      <c r="N500" t="s">
        <v>25</v>
      </c>
      <c r="O500">
        <f t="shared" si="14"/>
        <v>206.96</v>
      </c>
      <c r="P500" t="str">
        <f t="shared" si="15"/>
        <v>April</v>
      </c>
    </row>
    <row r="501" spans="1:16" x14ac:dyDescent="0.25">
      <c r="A501" t="s">
        <v>533</v>
      </c>
      <c r="B501">
        <v>18</v>
      </c>
      <c r="C501" t="s">
        <v>21</v>
      </c>
      <c r="D501" t="s">
        <v>33</v>
      </c>
      <c r="E501" s="2">
        <v>45733</v>
      </c>
      <c r="F501" t="s">
        <v>17</v>
      </c>
      <c r="G501">
        <v>200</v>
      </c>
      <c r="H501">
        <v>3</v>
      </c>
      <c r="I501">
        <v>81.739999999999995</v>
      </c>
      <c r="J501">
        <v>30.59</v>
      </c>
      <c r="K501" t="s">
        <v>18</v>
      </c>
      <c r="L501">
        <v>7.4</v>
      </c>
      <c r="M501">
        <v>8</v>
      </c>
      <c r="N501" t="s">
        <v>34</v>
      </c>
      <c r="O501">
        <f t="shared" si="14"/>
        <v>712.33</v>
      </c>
      <c r="P501" t="str">
        <f t="shared" si="15"/>
        <v>March</v>
      </c>
    </row>
    <row r="502" spans="1:16" x14ac:dyDescent="0.25">
      <c r="A502" t="s">
        <v>534</v>
      </c>
      <c r="B502">
        <v>33</v>
      </c>
      <c r="C502" t="s">
        <v>15</v>
      </c>
      <c r="D502" t="s">
        <v>40</v>
      </c>
      <c r="E502" s="2">
        <v>45772</v>
      </c>
      <c r="F502" t="s">
        <v>29</v>
      </c>
      <c r="G502">
        <v>100</v>
      </c>
      <c r="H502">
        <v>4</v>
      </c>
      <c r="I502">
        <v>106.27</v>
      </c>
      <c r="J502">
        <v>6.49</v>
      </c>
      <c r="K502" t="s">
        <v>24</v>
      </c>
      <c r="L502">
        <v>8.8000000000000007</v>
      </c>
      <c r="M502">
        <v>9</v>
      </c>
      <c r="N502" t="s">
        <v>30</v>
      </c>
      <c r="O502">
        <f t="shared" si="14"/>
        <v>512.76</v>
      </c>
      <c r="P502" t="str">
        <f t="shared" si="15"/>
        <v>April</v>
      </c>
    </row>
    <row r="503" spans="1:16" x14ac:dyDescent="0.25">
      <c r="A503" t="s">
        <v>535</v>
      </c>
      <c r="B503">
        <v>56</v>
      </c>
      <c r="C503" t="s">
        <v>21</v>
      </c>
      <c r="D503" t="s">
        <v>40</v>
      </c>
      <c r="E503" s="2">
        <v>45838</v>
      </c>
      <c r="F503" t="s">
        <v>17</v>
      </c>
      <c r="G503">
        <v>200</v>
      </c>
      <c r="H503">
        <v>1</v>
      </c>
      <c r="I503">
        <v>110.18</v>
      </c>
      <c r="J503">
        <v>34.32</v>
      </c>
      <c r="K503" t="s">
        <v>18</v>
      </c>
      <c r="L503">
        <v>7</v>
      </c>
      <c r="M503">
        <v>7</v>
      </c>
      <c r="N503" t="s">
        <v>19</v>
      </c>
      <c r="O503">
        <f t="shared" si="14"/>
        <v>344.5</v>
      </c>
      <c r="P503" t="str">
        <f t="shared" si="15"/>
        <v>June</v>
      </c>
    </row>
    <row r="504" spans="1:16" x14ac:dyDescent="0.25">
      <c r="A504" t="s">
        <v>536</v>
      </c>
      <c r="B504">
        <v>22</v>
      </c>
      <c r="C504" t="s">
        <v>15</v>
      </c>
      <c r="D504" t="s">
        <v>36</v>
      </c>
      <c r="E504" s="2">
        <v>45805</v>
      </c>
      <c r="F504" t="s">
        <v>41</v>
      </c>
      <c r="G504">
        <v>60</v>
      </c>
      <c r="H504">
        <v>2</v>
      </c>
      <c r="I504">
        <v>72.44</v>
      </c>
      <c r="J504">
        <v>30.34</v>
      </c>
      <c r="K504" t="s">
        <v>24</v>
      </c>
      <c r="L504">
        <v>6</v>
      </c>
      <c r="M504">
        <v>8</v>
      </c>
      <c r="N504" t="s">
        <v>34</v>
      </c>
      <c r="O504">
        <f t="shared" si="14"/>
        <v>222.78</v>
      </c>
      <c r="P504" t="str">
        <f t="shared" si="15"/>
        <v>May</v>
      </c>
    </row>
    <row r="505" spans="1:16" x14ac:dyDescent="0.25">
      <c r="A505" t="s">
        <v>537</v>
      </c>
      <c r="B505">
        <v>39</v>
      </c>
      <c r="C505" t="s">
        <v>21</v>
      </c>
      <c r="D505" t="s">
        <v>33</v>
      </c>
      <c r="E505" s="2">
        <v>45666</v>
      </c>
      <c r="F505" t="s">
        <v>29</v>
      </c>
      <c r="G505">
        <v>100</v>
      </c>
      <c r="H505">
        <v>4</v>
      </c>
      <c r="I505">
        <v>17.04</v>
      </c>
      <c r="J505">
        <v>25.25</v>
      </c>
      <c r="K505" t="s">
        <v>18</v>
      </c>
      <c r="L505">
        <v>8.5</v>
      </c>
      <c r="M505">
        <v>9</v>
      </c>
      <c r="N505" t="s">
        <v>30</v>
      </c>
      <c r="O505">
        <f t="shared" si="14"/>
        <v>442.29</v>
      </c>
      <c r="P505" t="str">
        <f t="shared" si="15"/>
        <v>January</v>
      </c>
    </row>
    <row r="506" spans="1:16" x14ac:dyDescent="0.25">
      <c r="A506" t="s">
        <v>538</v>
      </c>
      <c r="B506">
        <v>46</v>
      </c>
      <c r="C506" t="s">
        <v>38</v>
      </c>
      <c r="D506" t="s">
        <v>16</v>
      </c>
      <c r="E506" s="2">
        <v>45811</v>
      </c>
      <c r="F506" t="s">
        <v>17</v>
      </c>
      <c r="G506">
        <v>200</v>
      </c>
      <c r="H506">
        <v>2</v>
      </c>
      <c r="I506">
        <v>63.52</v>
      </c>
      <c r="J506">
        <v>8.9600000000000009</v>
      </c>
      <c r="K506" t="s">
        <v>24</v>
      </c>
      <c r="L506">
        <v>5.7</v>
      </c>
      <c r="M506">
        <v>6</v>
      </c>
      <c r="N506" t="s">
        <v>19</v>
      </c>
      <c r="O506">
        <f t="shared" si="14"/>
        <v>472.47999999999996</v>
      </c>
      <c r="P506" t="str">
        <f t="shared" si="15"/>
        <v>June</v>
      </c>
    </row>
    <row r="507" spans="1:16" x14ac:dyDescent="0.25">
      <c r="A507" t="s">
        <v>539</v>
      </c>
      <c r="B507">
        <v>20</v>
      </c>
      <c r="C507" t="s">
        <v>21</v>
      </c>
      <c r="D507" t="s">
        <v>22</v>
      </c>
      <c r="E507" s="2">
        <v>45733</v>
      </c>
      <c r="F507" t="s">
        <v>23</v>
      </c>
      <c r="G507">
        <v>150</v>
      </c>
      <c r="H507">
        <v>4</v>
      </c>
      <c r="I507">
        <v>113.45</v>
      </c>
      <c r="J507">
        <v>26.77</v>
      </c>
      <c r="K507" t="s">
        <v>18</v>
      </c>
      <c r="L507">
        <v>7.4</v>
      </c>
      <c r="M507">
        <v>8</v>
      </c>
      <c r="N507" t="s">
        <v>34</v>
      </c>
      <c r="O507">
        <f t="shared" si="14"/>
        <v>740.22</v>
      </c>
      <c r="P507" t="str">
        <f t="shared" si="15"/>
        <v>March</v>
      </c>
    </row>
    <row r="508" spans="1:16" x14ac:dyDescent="0.25">
      <c r="A508" t="s">
        <v>540</v>
      </c>
      <c r="B508">
        <v>29</v>
      </c>
      <c r="C508" t="s">
        <v>21</v>
      </c>
      <c r="D508" t="s">
        <v>36</v>
      </c>
      <c r="E508" s="2">
        <v>45887</v>
      </c>
      <c r="F508" t="s">
        <v>23</v>
      </c>
      <c r="G508">
        <v>150</v>
      </c>
      <c r="H508">
        <v>4</v>
      </c>
      <c r="I508">
        <v>56.76</v>
      </c>
      <c r="J508">
        <v>35.96</v>
      </c>
      <c r="K508" t="s">
        <v>18</v>
      </c>
      <c r="L508">
        <v>6.8</v>
      </c>
      <c r="M508">
        <v>4</v>
      </c>
      <c r="N508" t="s">
        <v>34</v>
      </c>
      <c r="O508">
        <f t="shared" si="14"/>
        <v>692.72</v>
      </c>
      <c r="P508" t="str">
        <f t="shared" si="15"/>
        <v>August</v>
      </c>
    </row>
    <row r="509" spans="1:16" x14ac:dyDescent="0.25">
      <c r="A509" t="s">
        <v>541</v>
      </c>
      <c r="B509">
        <v>43</v>
      </c>
      <c r="C509" t="s">
        <v>15</v>
      </c>
      <c r="D509" t="s">
        <v>16</v>
      </c>
      <c r="E509" s="2">
        <v>45904</v>
      </c>
      <c r="F509" t="s">
        <v>23</v>
      </c>
      <c r="G509">
        <v>150</v>
      </c>
      <c r="H509">
        <v>3</v>
      </c>
      <c r="I509">
        <v>92.48</v>
      </c>
      <c r="J509">
        <v>18.190000000000001</v>
      </c>
      <c r="K509" t="s">
        <v>18</v>
      </c>
      <c r="L509">
        <v>7.7</v>
      </c>
      <c r="M509">
        <v>7</v>
      </c>
      <c r="N509" t="s">
        <v>19</v>
      </c>
      <c r="O509">
        <f t="shared" si="14"/>
        <v>560.67000000000007</v>
      </c>
      <c r="P509" t="str">
        <f t="shared" si="15"/>
        <v>September</v>
      </c>
    </row>
    <row r="510" spans="1:16" x14ac:dyDescent="0.25">
      <c r="A510" t="s">
        <v>542</v>
      </c>
      <c r="B510">
        <v>33</v>
      </c>
      <c r="C510" t="s">
        <v>15</v>
      </c>
      <c r="D510" t="s">
        <v>27</v>
      </c>
      <c r="E510" s="2">
        <v>45718</v>
      </c>
      <c r="F510" t="s">
        <v>41</v>
      </c>
      <c r="G510">
        <v>60</v>
      </c>
      <c r="H510">
        <v>2</v>
      </c>
      <c r="I510">
        <v>82.41</v>
      </c>
      <c r="J510">
        <v>19.850000000000001</v>
      </c>
      <c r="K510" t="s">
        <v>18</v>
      </c>
      <c r="L510">
        <v>9.1999999999999993</v>
      </c>
      <c r="M510">
        <v>9</v>
      </c>
      <c r="N510" t="s">
        <v>30</v>
      </c>
      <c r="O510">
        <f t="shared" si="14"/>
        <v>222.26</v>
      </c>
      <c r="P510" t="str">
        <f t="shared" si="15"/>
        <v>March</v>
      </c>
    </row>
    <row r="511" spans="1:16" x14ac:dyDescent="0.25">
      <c r="A511" t="s">
        <v>543</v>
      </c>
      <c r="B511">
        <v>68</v>
      </c>
      <c r="C511" t="s">
        <v>21</v>
      </c>
      <c r="D511" t="s">
        <v>22</v>
      </c>
      <c r="E511" s="2">
        <v>45709</v>
      </c>
      <c r="F511" t="s">
        <v>29</v>
      </c>
      <c r="G511">
        <v>100</v>
      </c>
      <c r="H511">
        <v>1</v>
      </c>
      <c r="I511">
        <v>92.04</v>
      </c>
      <c r="J511">
        <v>9.3800000000000008</v>
      </c>
      <c r="K511" t="s">
        <v>18</v>
      </c>
      <c r="L511">
        <v>7.3</v>
      </c>
      <c r="M511">
        <v>10</v>
      </c>
      <c r="N511" t="s">
        <v>25</v>
      </c>
      <c r="O511">
        <f t="shared" si="14"/>
        <v>201.42000000000002</v>
      </c>
      <c r="P511" t="str">
        <f t="shared" si="15"/>
        <v>February</v>
      </c>
    </row>
    <row r="512" spans="1:16" x14ac:dyDescent="0.25">
      <c r="A512" t="s">
        <v>544</v>
      </c>
      <c r="B512">
        <v>54</v>
      </c>
      <c r="C512" t="s">
        <v>15</v>
      </c>
      <c r="D512" t="s">
        <v>27</v>
      </c>
      <c r="E512" s="2">
        <v>45784</v>
      </c>
      <c r="F512" t="s">
        <v>41</v>
      </c>
      <c r="G512">
        <v>60</v>
      </c>
      <c r="H512">
        <v>3</v>
      </c>
      <c r="I512">
        <v>33.11</v>
      </c>
      <c r="J512">
        <v>20.69</v>
      </c>
      <c r="K512" t="s">
        <v>24</v>
      </c>
      <c r="L512">
        <v>8.5</v>
      </c>
      <c r="M512">
        <v>9</v>
      </c>
      <c r="N512" t="s">
        <v>19</v>
      </c>
      <c r="O512">
        <f t="shared" si="14"/>
        <v>233.8</v>
      </c>
      <c r="P512" t="str">
        <f t="shared" si="15"/>
        <v>May</v>
      </c>
    </row>
    <row r="513" spans="1:16" x14ac:dyDescent="0.25">
      <c r="A513" t="s">
        <v>545</v>
      </c>
      <c r="B513">
        <v>39</v>
      </c>
      <c r="C513" t="s">
        <v>15</v>
      </c>
      <c r="D513" t="s">
        <v>33</v>
      </c>
      <c r="E513" s="2">
        <v>45665</v>
      </c>
      <c r="F513" t="s">
        <v>29</v>
      </c>
      <c r="G513">
        <v>100</v>
      </c>
      <c r="H513">
        <v>3</v>
      </c>
      <c r="I513">
        <v>90.22</v>
      </c>
      <c r="J513">
        <v>7.53</v>
      </c>
      <c r="K513" t="s">
        <v>18</v>
      </c>
      <c r="L513">
        <v>9.1</v>
      </c>
      <c r="M513">
        <v>6</v>
      </c>
      <c r="N513" t="s">
        <v>30</v>
      </c>
      <c r="O513">
        <f t="shared" si="14"/>
        <v>397.75</v>
      </c>
      <c r="P513" t="str">
        <f t="shared" si="15"/>
        <v>January</v>
      </c>
    </row>
    <row r="514" spans="1:16" x14ac:dyDescent="0.25">
      <c r="A514" t="s">
        <v>546</v>
      </c>
      <c r="B514">
        <v>46</v>
      </c>
      <c r="C514" t="s">
        <v>15</v>
      </c>
      <c r="D514" t="s">
        <v>52</v>
      </c>
      <c r="E514" s="2">
        <v>45824</v>
      </c>
      <c r="F514" t="s">
        <v>29</v>
      </c>
      <c r="G514">
        <v>100</v>
      </c>
      <c r="H514">
        <v>1</v>
      </c>
      <c r="I514">
        <v>24.75</v>
      </c>
      <c r="J514">
        <v>26.13</v>
      </c>
      <c r="K514" t="s">
        <v>24</v>
      </c>
      <c r="L514">
        <v>7.1</v>
      </c>
      <c r="M514">
        <v>10</v>
      </c>
      <c r="N514" t="s">
        <v>19</v>
      </c>
      <c r="O514">
        <f t="shared" si="14"/>
        <v>150.88</v>
      </c>
      <c r="P514" t="str">
        <f t="shared" si="15"/>
        <v>June</v>
      </c>
    </row>
    <row r="515" spans="1:16" x14ac:dyDescent="0.25">
      <c r="A515" t="s">
        <v>547</v>
      </c>
      <c r="B515">
        <v>31</v>
      </c>
      <c r="C515" t="s">
        <v>21</v>
      </c>
      <c r="D515" t="s">
        <v>22</v>
      </c>
      <c r="E515" s="2">
        <v>45749</v>
      </c>
      <c r="F515" t="s">
        <v>17</v>
      </c>
      <c r="G515">
        <v>200</v>
      </c>
      <c r="H515">
        <v>3</v>
      </c>
      <c r="I515">
        <v>24.92</v>
      </c>
      <c r="J515">
        <v>22.41</v>
      </c>
      <c r="K515" t="s">
        <v>24</v>
      </c>
      <c r="L515">
        <v>7.1</v>
      </c>
      <c r="M515">
        <v>6</v>
      </c>
      <c r="N515" t="s">
        <v>30</v>
      </c>
      <c r="O515">
        <f t="shared" ref="O515:O578" si="16">(G515*H515)+I515+J515</f>
        <v>647.32999999999993</v>
      </c>
      <c r="P515" t="str">
        <f t="shared" ref="P515:P578" si="17">TEXT(E515, "mmmm")</f>
        <v>April</v>
      </c>
    </row>
    <row r="516" spans="1:16" x14ac:dyDescent="0.25">
      <c r="A516" t="s">
        <v>548</v>
      </c>
      <c r="B516">
        <v>45</v>
      </c>
      <c r="C516" t="s">
        <v>21</v>
      </c>
      <c r="D516" t="s">
        <v>16</v>
      </c>
      <c r="E516" s="2">
        <v>45703</v>
      </c>
      <c r="F516" t="s">
        <v>23</v>
      </c>
      <c r="G516">
        <v>150</v>
      </c>
      <c r="H516">
        <v>4</v>
      </c>
      <c r="I516">
        <v>36.83</v>
      </c>
      <c r="J516">
        <v>10.19</v>
      </c>
      <c r="K516" t="s">
        <v>18</v>
      </c>
      <c r="L516">
        <v>10</v>
      </c>
      <c r="M516">
        <v>9</v>
      </c>
      <c r="N516" t="s">
        <v>19</v>
      </c>
      <c r="O516">
        <f t="shared" si="16"/>
        <v>647.0200000000001</v>
      </c>
      <c r="P516" t="str">
        <f t="shared" si="17"/>
        <v>February</v>
      </c>
    </row>
    <row r="517" spans="1:16" x14ac:dyDescent="0.25">
      <c r="A517" t="s">
        <v>549</v>
      </c>
      <c r="B517">
        <v>22</v>
      </c>
      <c r="C517" t="s">
        <v>15</v>
      </c>
      <c r="D517" t="s">
        <v>52</v>
      </c>
      <c r="E517" s="2">
        <v>45839</v>
      </c>
      <c r="F517" t="s">
        <v>41</v>
      </c>
      <c r="G517">
        <v>60</v>
      </c>
      <c r="H517">
        <v>4</v>
      </c>
      <c r="I517">
        <v>78.709999999999994</v>
      </c>
      <c r="J517">
        <v>28.73</v>
      </c>
      <c r="K517" t="s">
        <v>24</v>
      </c>
      <c r="L517">
        <v>7.9</v>
      </c>
      <c r="M517">
        <v>6</v>
      </c>
      <c r="N517" t="s">
        <v>34</v>
      </c>
      <c r="O517">
        <f t="shared" si="16"/>
        <v>347.44</v>
      </c>
      <c r="P517" t="str">
        <f t="shared" si="17"/>
        <v>July</v>
      </c>
    </row>
    <row r="518" spans="1:16" x14ac:dyDescent="0.25">
      <c r="A518" t="s">
        <v>550</v>
      </c>
      <c r="B518">
        <v>64</v>
      </c>
      <c r="C518" t="s">
        <v>21</v>
      </c>
      <c r="D518" t="s">
        <v>40</v>
      </c>
      <c r="E518" s="2">
        <v>45706</v>
      </c>
      <c r="F518" t="s">
        <v>41</v>
      </c>
      <c r="G518">
        <v>60</v>
      </c>
      <c r="H518">
        <v>2</v>
      </c>
      <c r="I518">
        <v>62.09</v>
      </c>
      <c r="J518">
        <v>15.07</v>
      </c>
      <c r="K518" t="s">
        <v>18</v>
      </c>
      <c r="L518">
        <v>8.8000000000000007</v>
      </c>
      <c r="M518">
        <v>7</v>
      </c>
      <c r="N518" t="s">
        <v>25</v>
      </c>
      <c r="O518">
        <f t="shared" si="16"/>
        <v>197.16</v>
      </c>
      <c r="P518" t="str">
        <f t="shared" si="17"/>
        <v>February</v>
      </c>
    </row>
    <row r="519" spans="1:16" x14ac:dyDescent="0.25">
      <c r="A519" t="s">
        <v>551</v>
      </c>
      <c r="B519">
        <v>66</v>
      </c>
      <c r="C519" t="s">
        <v>21</v>
      </c>
      <c r="D519" t="s">
        <v>16</v>
      </c>
      <c r="E519" s="2">
        <v>45814</v>
      </c>
      <c r="F519" t="s">
        <v>23</v>
      </c>
      <c r="G519">
        <v>150</v>
      </c>
      <c r="H519">
        <v>2</v>
      </c>
      <c r="I519">
        <v>58.25</v>
      </c>
      <c r="J519">
        <v>17.72</v>
      </c>
      <c r="K519" t="s">
        <v>18</v>
      </c>
      <c r="L519">
        <v>8.8000000000000007</v>
      </c>
      <c r="M519">
        <v>7</v>
      </c>
      <c r="N519" t="s">
        <v>25</v>
      </c>
      <c r="O519">
        <f t="shared" si="16"/>
        <v>375.97</v>
      </c>
      <c r="P519" t="str">
        <f t="shared" si="17"/>
        <v>June</v>
      </c>
    </row>
    <row r="520" spans="1:16" x14ac:dyDescent="0.25">
      <c r="A520" t="s">
        <v>552</v>
      </c>
      <c r="B520">
        <v>47</v>
      </c>
      <c r="C520" t="s">
        <v>21</v>
      </c>
      <c r="D520" t="s">
        <v>36</v>
      </c>
      <c r="E520" s="2">
        <v>45896</v>
      </c>
      <c r="F520" t="s">
        <v>23</v>
      </c>
      <c r="G520">
        <v>150</v>
      </c>
      <c r="H520">
        <v>1</v>
      </c>
      <c r="I520">
        <v>41.23</v>
      </c>
      <c r="J520">
        <v>17.07</v>
      </c>
      <c r="K520" t="s">
        <v>24</v>
      </c>
      <c r="L520">
        <v>6.2</v>
      </c>
      <c r="M520">
        <v>8</v>
      </c>
      <c r="N520" t="s">
        <v>19</v>
      </c>
      <c r="O520">
        <f t="shared" si="16"/>
        <v>208.29999999999998</v>
      </c>
      <c r="P520" t="str">
        <f t="shared" si="17"/>
        <v>August</v>
      </c>
    </row>
    <row r="521" spans="1:16" x14ac:dyDescent="0.25">
      <c r="A521" t="s">
        <v>553</v>
      </c>
      <c r="B521">
        <v>63</v>
      </c>
      <c r="C521" t="s">
        <v>21</v>
      </c>
      <c r="D521" t="s">
        <v>40</v>
      </c>
      <c r="E521" s="2">
        <v>45740</v>
      </c>
      <c r="F521" t="s">
        <v>29</v>
      </c>
      <c r="G521">
        <v>100</v>
      </c>
      <c r="H521">
        <v>2</v>
      </c>
      <c r="I521">
        <v>49.56</v>
      </c>
      <c r="J521">
        <v>15.06</v>
      </c>
      <c r="K521" t="s">
        <v>18</v>
      </c>
      <c r="L521">
        <v>6.9</v>
      </c>
      <c r="M521">
        <v>8</v>
      </c>
      <c r="N521" t="s">
        <v>25</v>
      </c>
      <c r="O521">
        <f t="shared" si="16"/>
        <v>264.62</v>
      </c>
      <c r="P521" t="str">
        <f t="shared" si="17"/>
        <v>March</v>
      </c>
    </row>
    <row r="522" spans="1:16" x14ac:dyDescent="0.25">
      <c r="A522" t="s">
        <v>554</v>
      </c>
      <c r="B522">
        <v>69</v>
      </c>
      <c r="C522" t="s">
        <v>15</v>
      </c>
      <c r="D522" t="s">
        <v>40</v>
      </c>
      <c r="E522" s="2">
        <v>45662</v>
      </c>
      <c r="F522" t="s">
        <v>41</v>
      </c>
      <c r="G522">
        <v>60</v>
      </c>
      <c r="H522">
        <v>4</v>
      </c>
      <c r="I522">
        <v>20.2</v>
      </c>
      <c r="J522">
        <v>10.14</v>
      </c>
      <c r="K522" t="s">
        <v>18</v>
      </c>
      <c r="L522">
        <v>8.6</v>
      </c>
      <c r="M522">
        <v>9</v>
      </c>
      <c r="N522" t="s">
        <v>25</v>
      </c>
      <c r="O522">
        <f t="shared" si="16"/>
        <v>270.33999999999997</v>
      </c>
      <c r="P522" t="str">
        <f t="shared" si="17"/>
        <v>January</v>
      </c>
    </row>
    <row r="523" spans="1:16" x14ac:dyDescent="0.25">
      <c r="A523" t="s">
        <v>555</v>
      </c>
      <c r="B523">
        <v>22</v>
      </c>
      <c r="C523" t="s">
        <v>21</v>
      </c>
      <c r="D523" t="s">
        <v>36</v>
      </c>
      <c r="E523" s="2">
        <v>45678</v>
      </c>
      <c r="F523" t="s">
        <v>23</v>
      </c>
      <c r="G523">
        <v>150</v>
      </c>
      <c r="H523">
        <v>1</v>
      </c>
      <c r="I523">
        <v>19.100000000000001</v>
      </c>
      <c r="J523">
        <v>20.67</v>
      </c>
      <c r="K523" t="s">
        <v>18</v>
      </c>
      <c r="L523">
        <v>4.9000000000000004</v>
      </c>
      <c r="M523">
        <v>8</v>
      </c>
      <c r="N523" t="s">
        <v>34</v>
      </c>
      <c r="O523">
        <f t="shared" si="16"/>
        <v>189.76999999999998</v>
      </c>
      <c r="P523" t="str">
        <f t="shared" si="17"/>
        <v>January</v>
      </c>
    </row>
    <row r="524" spans="1:16" x14ac:dyDescent="0.25">
      <c r="A524" t="s">
        <v>556</v>
      </c>
      <c r="B524">
        <v>29</v>
      </c>
      <c r="C524" t="s">
        <v>21</v>
      </c>
      <c r="D524" t="s">
        <v>22</v>
      </c>
      <c r="E524" s="2">
        <v>45687</v>
      </c>
      <c r="F524" t="s">
        <v>29</v>
      </c>
      <c r="G524">
        <v>100</v>
      </c>
      <c r="H524">
        <v>1</v>
      </c>
      <c r="I524">
        <v>76.2</v>
      </c>
      <c r="J524">
        <v>27.61</v>
      </c>
      <c r="K524" t="s">
        <v>18</v>
      </c>
      <c r="L524">
        <v>7.7</v>
      </c>
      <c r="M524">
        <v>6</v>
      </c>
      <c r="N524" t="s">
        <v>34</v>
      </c>
      <c r="O524">
        <f t="shared" si="16"/>
        <v>203.81</v>
      </c>
      <c r="P524" t="str">
        <f t="shared" si="17"/>
        <v>January</v>
      </c>
    </row>
    <row r="525" spans="1:16" x14ac:dyDescent="0.25">
      <c r="A525" t="s">
        <v>557</v>
      </c>
      <c r="B525">
        <v>33</v>
      </c>
      <c r="C525" t="s">
        <v>21</v>
      </c>
      <c r="D525" t="s">
        <v>40</v>
      </c>
      <c r="E525" s="2">
        <v>45758</v>
      </c>
      <c r="F525" t="s">
        <v>41</v>
      </c>
      <c r="G525">
        <v>60</v>
      </c>
      <c r="H525">
        <v>2</v>
      </c>
      <c r="I525">
        <v>6.57</v>
      </c>
      <c r="J525">
        <v>25.98</v>
      </c>
      <c r="K525" t="s">
        <v>24</v>
      </c>
      <c r="L525">
        <v>6.7</v>
      </c>
      <c r="M525">
        <v>8</v>
      </c>
      <c r="N525" t="s">
        <v>30</v>
      </c>
      <c r="O525">
        <f t="shared" si="16"/>
        <v>152.54999999999998</v>
      </c>
      <c r="P525" t="str">
        <f t="shared" si="17"/>
        <v>April</v>
      </c>
    </row>
    <row r="526" spans="1:16" x14ac:dyDescent="0.25">
      <c r="A526" t="s">
        <v>558</v>
      </c>
      <c r="B526">
        <v>43</v>
      </c>
      <c r="C526" t="s">
        <v>21</v>
      </c>
      <c r="D526" t="s">
        <v>33</v>
      </c>
      <c r="E526" s="2">
        <v>45753</v>
      </c>
      <c r="F526" t="s">
        <v>17</v>
      </c>
      <c r="G526">
        <v>200</v>
      </c>
      <c r="H526">
        <v>4</v>
      </c>
      <c r="I526">
        <v>121.38</v>
      </c>
      <c r="J526">
        <v>6.74</v>
      </c>
      <c r="K526" t="s">
        <v>18</v>
      </c>
      <c r="L526">
        <v>9.6999999999999993</v>
      </c>
      <c r="M526">
        <v>5</v>
      </c>
      <c r="N526" t="s">
        <v>19</v>
      </c>
      <c r="O526">
        <f t="shared" si="16"/>
        <v>928.12</v>
      </c>
      <c r="P526" t="str">
        <f t="shared" si="17"/>
        <v>April</v>
      </c>
    </row>
    <row r="527" spans="1:16" x14ac:dyDescent="0.25">
      <c r="A527" t="s">
        <v>559</v>
      </c>
      <c r="B527">
        <v>43</v>
      </c>
      <c r="C527" t="s">
        <v>15</v>
      </c>
      <c r="D527" t="s">
        <v>16</v>
      </c>
      <c r="E527" s="2">
        <v>45713</v>
      </c>
      <c r="F527" t="s">
        <v>17</v>
      </c>
      <c r="G527">
        <v>200</v>
      </c>
      <c r="H527">
        <v>1</v>
      </c>
      <c r="I527">
        <v>59.3</v>
      </c>
      <c r="J527">
        <v>15.06</v>
      </c>
      <c r="K527" t="s">
        <v>18</v>
      </c>
      <c r="L527">
        <v>8.5</v>
      </c>
      <c r="M527">
        <v>7</v>
      </c>
      <c r="N527" t="s">
        <v>19</v>
      </c>
      <c r="O527">
        <f t="shared" si="16"/>
        <v>274.36</v>
      </c>
      <c r="P527" t="str">
        <f t="shared" si="17"/>
        <v>February</v>
      </c>
    </row>
    <row r="528" spans="1:16" x14ac:dyDescent="0.25">
      <c r="A528" t="s">
        <v>560</v>
      </c>
      <c r="B528">
        <v>65</v>
      </c>
      <c r="C528" t="s">
        <v>15</v>
      </c>
      <c r="D528" t="s">
        <v>52</v>
      </c>
      <c r="E528" s="2">
        <v>45696</v>
      </c>
      <c r="F528" t="s">
        <v>29</v>
      </c>
      <c r="G528">
        <v>100</v>
      </c>
      <c r="H528">
        <v>4</v>
      </c>
      <c r="I528">
        <v>34.93</v>
      </c>
      <c r="J528">
        <v>8.58</v>
      </c>
      <c r="K528" t="s">
        <v>18</v>
      </c>
      <c r="L528">
        <v>9.8000000000000007</v>
      </c>
      <c r="M528">
        <v>8</v>
      </c>
      <c r="N528" t="s">
        <v>25</v>
      </c>
      <c r="O528">
        <f t="shared" si="16"/>
        <v>443.51</v>
      </c>
      <c r="P528" t="str">
        <f t="shared" si="17"/>
        <v>February</v>
      </c>
    </row>
    <row r="529" spans="1:16" x14ac:dyDescent="0.25">
      <c r="A529" t="s">
        <v>561</v>
      </c>
      <c r="B529">
        <v>38</v>
      </c>
      <c r="C529" t="s">
        <v>21</v>
      </c>
      <c r="D529" t="s">
        <v>40</v>
      </c>
      <c r="E529" s="2">
        <v>45893</v>
      </c>
      <c r="F529" t="s">
        <v>41</v>
      </c>
      <c r="G529">
        <v>60</v>
      </c>
      <c r="H529">
        <v>4</v>
      </c>
      <c r="I529">
        <v>2.71</v>
      </c>
      <c r="J529">
        <v>18.66</v>
      </c>
      <c r="K529" t="s">
        <v>18</v>
      </c>
      <c r="L529">
        <v>7.9</v>
      </c>
      <c r="M529">
        <v>7</v>
      </c>
      <c r="N529" t="s">
        <v>30</v>
      </c>
      <c r="O529">
        <f t="shared" si="16"/>
        <v>261.37</v>
      </c>
      <c r="P529" t="str">
        <f t="shared" si="17"/>
        <v>August</v>
      </c>
    </row>
    <row r="530" spans="1:16" x14ac:dyDescent="0.25">
      <c r="A530" t="s">
        <v>562</v>
      </c>
      <c r="B530">
        <v>56</v>
      </c>
      <c r="C530" t="s">
        <v>21</v>
      </c>
      <c r="D530" t="s">
        <v>16</v>
      </c>
      <c r="E530" s="2">
        <v>45870</v>
      </c>
      <c r="F530" t="s">
        <v>23</v>
      </c>
      <c r="G530">
        <v>150</v>
      </c>
      <c r="H530">
        <v>4</v>
      </c>
      <c r="I530">
        <v>25.08</v>
      </c>
      <c r="J530">
        <v>4.47</v>
      </c>
      <c r="K530" t="s">
        <v>18</v>
      </c>
      <c r="L530">
        <v>7.8</v>
      </c>
      <c r="M530">
        <v>6</v>
      </c>
      <c r="N530" t="s">
        <v>19</v>
      </c>
      <c r="O530">
        <f t="shared" si="16"/>
        <v>629.55000000000007</v>
      </c>
      <c r="P530" t="str">
        <f t="shared" si="17"/>
        <v>August</v>
      </c>
    </row>
    <row r="531" spans="1:16" x14ac:dyDescent="0.25">
      <c r="A531" t="s">
        <v>563</v>
      </c>
      <c r="B531">
        <v>53</v>
      </c>
      <c r="C531" t="s">
        <v>21</v>
      </c>
      <c r="D531" t="s">
        <v>27</v>
      </c>
      <c r="E531" s="2">
        <v>45824</v>
      </c>
      <c r="F531" t="s">
        <v>29</v>
      </c>
      <c r="G531">
        <v>100</v>
      </c>
      <c r="H531">
        <v>2</v>
      </c>
      <c r="I531">
        <v>43.21</v>
      </c>
      <c r="J531">
        <v>4.62</v>
      </c>
      <c r="K531" t="s">
        <v>18</v>
      </c>
      <c r="L531">
        <v>7.5</v>
      </c>
      <c r="M531">
        <v>10</v>
      </c>
      <c r="N531" t="s">
        <v>19</v>
      </c>
      <c r="O531">
        <f t="shared" si="16"/>
        <v>247.83</v>
      </c>
      <c r="P531" t="str">
        <f t="shared" si="17"/>
        <v>June</v>
      </c>
    </row>
    <row r="532" spans="1:16" x14ac:dyDescent="0.25">
      <c r="A532" t="s">
        <v>564</v>
      </c>
      <c r="B532">
        <v>50</v>
      </c>
      <c r="C532" t="s">
        <v>21</v>
      </c>
      <c r="D532" t="s">
        <v>16</v>
      </c>
      <c r="E532" s="2">
        <v>45700</v>
      </c>
      <c r="F532" t="s">
        <v>29</v>
      </c>
      <c r="G532">
        <v>100</v>
      </c>
      <c r="H532">
        <v>3</v>
      </c>
      <c r="I532">
        <v>6</v>
      </c>
      <c r="J532">
        <v>10.119999999999999</v>
      </c>
      <c r="K532" t="s">
        <v>18</v>
      </c>
      <c r="L532">
        <v>7.2</v>
      </c>
      <c r="M532">
        <v>10</v>
      </c>
      <c r="N532" t="s">
        <v>19</v>
      </c>
      <c r="O532">
        <f t="shared" si="16"/>
        <v>316.12</v>
      </c>
      <c r="P532" t="str">
        <f t="shared" si="17"/>
        <v>February</v>
      </c>
    </row>
    <row r="533" spans="1:16" x14ac:dyDescent="0.25">
      <c r="A533" t="s">
        <v>565</v>
      </c>
      <c r="B533">
        <v>47</v>
      </c>
      <c r="C533" t="s">
        <v>21</v>
      </c>
      <c r="D533" t="s">
        <v>52</v>
      </c>
      <c r="E533" s="2">
        <v>45707</v>
      </c>
      <c r="F533" t="s">
        <v>29</v>
      </c>
      <c r="G533">
        <v>100</v>
      </c>
      <c r="H533">
        <v>3</v>
      </c>
      <c r="I533">
        <v>36.22</v>
      </c>
      <c r="J533">
        <v>35.46</v>
      </c>
      <c r="K533" t="s">
        <v>18</v>
      </c>
      <c r="L533">
        <v>10</v>
      </c>
      <c r="M533">
        <v>10</v>
      </c>
      <c r="N533" t="s">
        <v>19</v>
      </c>
      <c r="O533">
        <f t="shared" si="16"/>
        <v>371.68</v>
      </c>
      <c r="P533" t="str">
        <f t="shared" si="17"/>
        <v>February</v>
      </c>
    </row>
    <row r="534" spans="1:16" x14ac:dyDescent="0.25">
      <c r="A534" t="s">
        <v>566</v>
      </c>
      <c r="B534">
        <v>54</v>
      </c>
      <c r="C534" t="s">
        <v>21</v>
      </c>
      <c r="D534" t="s">
        <v>16</v>
      </c>
      <c r="E534" s="2">
        <v>45781</v>
      </c>
      <c r="F534" t="s">
        <v>29</v>
      </c>
      <c r="G534">
        <v>100</v>
      </c>
      <c r="H534">
        <v>1</v>
      </c>
      <c r="I534">
        <v>108.89</v>
      </c>
      <c r="J534">
        <v>17.73</v>
      </c>
      <c r="K534" t="s">
        <v>24</v>
      </c>
      <c r="L534">
        <v>9.1999999999999993</v>
      </c>
      <c r="M534">
        <v>10</v>
      </c>
      <c r="N534" t="s">
        <v>19</v>
      </c>
      <c r="O534">
        <f t="shared" si="16"/>
        <v>226.61999999999998</v>
      </c>
      <c r="P534" t="str">
        <f t="shared" si="17"/>
        <v>May</v>
      </c>
    </row>
    <row r="535" spans="1:16" x14ac:dyDescent="0.25">
      <c r="A535" t="s">
        <v>567</v>
      </c>
      <c r="B535">
        <v>40</v>
      </c>
      <c r="C535" t="s">
        <v>15</v>
      </c>
      <c r="D535" t="s">
        <v>36</v>
      </c>
      <c r="E535" s="2">
        <v>45838</v>
      </c>
      <c r="F535" t="s">
        <v>29</v>
      </c>
      <c r="G535">
        <v>100</v>
      </c>
      <c r="H535">
        <v>4</v>
      </c>
      <c r="I535">
        <v>48.66</v>
      </c>
      <c r="J535">
        <v>9.5299999999999994</v>
      </c>
      <c r="K535" t="s">
        <v>18</v>
      </c>
      <c r="L535">
        <v>6.4</v>
      </c>
      <c r="M535">
        <v>7</v>
      </c>
      <c r="N535" t="s">
        <v>19</v>
      </c>
      <c r="O535">
        <f t="shared" si="16"/>
        <v>458.18999999999994</v>
      </c>
      <c r="P535" t="str">
        <f t="shared" si="17"/>
        <v>June</v>
      </c>
    </row>
    <row r="536" spans="1:16" x14ac:dyDescent="0.25">
      <c r="A536" t="s">
        <v>568</v>
      </c>
      <c r="B536">
        <v>27</v>
      </c>
      <c r="C536" t="s">
        <v>21</v>
      </c>
      <c r="D536" t="s">
        <v>52</v>
      </c>
      <c r="E536" s="2">
        <v>45749</v>
      </c>
      <c r="F536" t="s">
        <v>29</v>
      </c>
      <c r="G536">
        <v>100</v>
      </c>
      <c r="H536">
        <v>2</v>
      </c>
      <c r="I536">
        <v>122.5</v>
      </c>
      <c r="J536">
        <v>22.36</v>
      </c>
      <c r="K536" t="s">
        <v>24</v>
      </c>
      <c r="L536">
        <v>10</v>
      </c>
      <c r="M536">
        <v>7</v>
      </c>
      <c r="N536" t="s">
        <v>34</v>
      </c>
      <c r="O536">
        <f t="shared" si="16"/>
        <v>344.86</v>
      </c>
      <c r="P536" t="str">
        <f t="shared" si="17"/>
        <v>April</v>
      </c>
    </row>
    <row r="537" spans="1:16" x14ac:dyDescent="0.25">
      <c r="A537" t="s">
        <v>569</v>
      </c>
      <c r="B537">
        <v>22</v>
      </c>
      <c r="C537" t="s">
        <v>15</v>
      </c>
      <c r="D537" t="s">
        <v>22</v>
      </c>
      <c r="E537" s="2">
        <v>45762</v>
      </c>
      <c r="F537" t="s">
        <v>29</v>
      </c>
      <c r="G537">
        <v>100</v>
      </c>
      <c r="H537">
        <v>4</v>
      </c>
      <c r="I537">
        <v>25.84</v>
      </c>
      <c r="J537">
        <v>19.61</v>
      </c>
      <c r="K537" t="s">
        <v>24</v>
      </c>
      <c r="L537">
        <v>7.4</v>
      </c>
      <c r="M537">
        <v>7</v>
      </c>
      <c r="N537" t="s">
        <v>34</v>
      </c>
      <c r="O537">
        <f t="shared" si="16"/>
        <v>445.45</v>
      </c>
      <c r="P537" t="str">
        <f t="shared" si="17"/>
        <v>April</v>
      </c>
    </row>
    <row r="538" spans="1:16" x14ac:dyDescent="0.25">
      <c r="A538" t="s">
        <v>570</v>
      </c>
      <c r="B538">
        <v>53</v>
      </c>
      <c r="C538" t="s">
        <v>21</v>
      </c>
      <c r="D538" t="s">
        <v>27</v>
      </c>
      <c r="E538" s="2">
        <v>45697</v>
      </c>
      <c r="F538" t="s">
        <v>29</v>
      </c>
      <c r="G538">
        <v>100</v>
      </c>
      <c r="H538">
        <v>4</v>
      </c>
      <c r="I538">
        <v>10.41</v>
      </c>
      <c r="J538">
        <v>38.549999999999997</v>
      </c>
      <c r="K538" t="s">
        <v>24</v>
      </c>
      <c r="L538">
        <v>8.5</v>
      </c>
      <c r="M538">
        <v>10</v>
      </c>
      <c r="N538" t="s">
        <v>19</v>
      </c>
      <c r="O538">
        <f t="shared" si="16"/>
        <v>448.96000000000004</v>
      </c>
      <c r="P538" t="str">
        <f t="shared" si="17"/>
        <v>February</v>
      </c>
    </row>
    <row r="539" spans="1:16" x14ac:dyDescent="0.25">
      <c r="A539" t="s">
        <v>571</v>
      </c>
      <c r="B539">
        <v>51</v>
      </c>
      <c r="C539" t="s">
        <v>38</v>
      </c>
      <c r="D539" t="s">
        <v>36</v>
      </c>
      <c r="E539" s="2">
        <v>45733</v>
      </c>
      <c r="F539" t="s">
        <v>29</v>
      </c>
      <c r="G539">
        <v>100</v>
      </c>
      <c r="H539">
        <v>2</v>
      </c>
      <c r="I539">
        <v>70.56</v>
      </c>
      <c r="J539">
        <v>19.670000000000002</v>
      </c>
      <c r="K539" t="s">
        <v>24</v>
      </c>
      <c r="L539">
        <v>9.4</v>
      </c>
      <c r="M539">
        <v>8</v>
      </c>
      <c r="N539" t="s">
        <v>19</v>
      </c>
      <c r="O539">
        <f t="shared" si="16"/>
        <v>290.23</v>
      </c>
      <c r="P539" t="str">
        <f t="shared" si="17"/>
        <v>March</v>
      </c>
    </row>
    <row r="540" spans="1:16" x14ac:dyDescent="0.25">
      <c r="A540" t="s">
        <v>572</v>
      </c>
      <c r="B540">
        <v>69</v>
      </c>
      <c r="C540" t="s">
        <v>15</v>
      </c>
      <c r="D540" t="s">
        <v>22</v>
      </c>
      <c r="E540" s="2">
        <v>45743</v>
      </c>
      <c r="F540" t="s">
        <v>41</v>
      </c>
      <c r="G540">
        <v>60</v>
      </c>
      <c r="H540">
        <v>3</v>
      </c>
      <c r="I540">
        <v>81.2</v>
      </c>
      <c r="J540">
        <v>12.97</v>
      </c>
      <c r="K540" t="s">
        <v>18</v>
      </c>
      <c r="L540">
        <v>5.7</v>
      </c>
      <c r="M540">
        <v>10</v>
      </c>
      <c r="N540" t="s">
        <v>25</v>
      </c>
      <c r="O540">
        <f t="shared" si="16"/>
        <v>274.17</v>
      </c>
      <c r="P540" t="str">
        <f t="shared" si="17"/>
        <v>March</v>
      </c>
    </row>
    <row r="541" spans="1:16" x14ac:dyDescent="0.25">
      <c r="A541" t="s">
        <v>573</v>
      </c>
      <c r="B541">
        <v>48</v>
      </c>
      <c r="C541" t="s">
        <v>15</v>
      </c>
      <c r="D541" t="s">
        <v>16</v>
      </c>
      <c r="E541" s="2">
        <v>45853</v>
      </c>
      <c r="F541" t="s">
        <v>17</v>
      </c>
      <c r="G541">
        <v>200</v>
      </c>
      <c r="H541">
        <v>4</v>
      </c>
      <c r="I541">
        <v>105.64</v>
      </c>
      <c r="J541">
        <v>26.8</v>
      </c>
      <c r="K541" t="s">
        <v>18</v>
      </c>
      <c r="L541">
        <v>6.8</v>
      </c>
      <c r="M541">
        <v>10</v>
      </c>
      <c r="N541" t="s">
        <v>19</v>
      </c>
      <c r="O541">
        <f t="shared" si="16"/>
        <v>932.43999999999994</v>
      </c>
      <c r="P541" t="str">
        <f t="shared" si="17"/>
        <v>July</v>
      </c>
    </row>
    <row r="542" spans="1:16" x14ac:dyDescent="0.25">
      <c r="A542" t="s">
        <v>574</v>
      </c>
      <c r="B542">
        <v>27</v>
      </c>
      <c r="C542" t="s">
        <v>15</v>
      </c>
      <c r="D542" t="s">
        <v>52</v>
      </c>
      <c r="E542" s="2">
        <v>45724</v>
      </c>
      <c r="F542" t="s">
        <v>41</v>
      </c>
      <c r="G542">
        <v>60</v>
      </c>
      <c r="H542">
        <v>4</v>
      </c>
      <c r="I542">
        <v>129.41999999999999</v>
      </c>
      <c r="J542">
        <v>6.7</v>
      </c>
      <c r="K542" t="s">
        <v>18</v>
      </c>
      <c r="L542">
        <v>10</v>
      </c>
      <c r="M542">
        <v>8</v>
      </c>
      <c r="N542" t="s">
        <v>34</v>
      </c>
      <c r="O542">
        <f t="shared" si="16"/>
        <v>376.11999999999995</v>
      </c>
      <c r="P542" t="str">
        <f t="shared" si="17"/>
        <v>March</v>
      </c>
    </row>
    <row r="543" spans="1:16" x14ac:dyDescent="0.25">
      <c r="A543" t="s">
        <v>575</v>
      </c>
      <c r="B543">
        <v>36</v>
      </c>
      <c r="C543" t="s">
        <v>38</v>
      </c>
      <c r="D543" t="s">
        <v>27</v>
      </c>
      <c r="E543" s="2">
        <v>45663</v>
      </c>
      <c r="F543" t="s">
        <v>41</v>
      </c>
      <c r="G543">
        <v>60</v>
      </c>
      <c r="H543">
        <v>3</v>
      </c>
      <c r="I543">
        <v>48.52</v>
      </c>
      <c r="J543">
        <v>13.79</v>
      </c>
      <c r="K543" t="s">
        <v>18</v>
      </c>
      <c r="L543">
        <v>7.7</v>
      </c>
      <c r="M543">
        <v>6</v>
      </c>
      <c r="N543" t="s">
        <v>30</v>
      </c>
      <c r="O543">
        <f t="shared" si="16"/>
        <v>242.31</v>
      </c>
      <c r="P543" t="str">
        <f t="shared" si="17"/>
        <v>January</v>
      </c>
    </row>
    <row r="544" spans="1:16" x14ac:dyDescent="0.25">
      <c r="A544" t="s">
        <v>576</v>
      </c>
      <c r="B544">
        <v>49</v>
      </c>
      <c r="C544" t="s">
        <v>15</v>
      </c>
      <c r="D544" t="s">
        <v>36</v>
      </c>
      <c r="E544" s="2">
        <v>45671</v>
      </c>
      <c r="F544" t="s">
        <v>23</v>
      </c>
      <c r="G544">
        <v>150</v>
      </c>
      <c r="H544">
        <v>2</v>
      </c>
      <c r="I544">
        <v>114.98</v>
      </c>
      <c r="J544">
        <v>11.08</v>
      </c>
      <c r="K544" t="s">
        <v>24</v>
      </c>
      <c r="L544">
        <v>9.5</v>
      </c>
      <c r="M544">
        <v>8</v>
      </c>
      <c r="N544" t="s">
        <v>19</v>
      </c>
      <c r="O544">
        <f t="shared" si="16"/>
        <v>426.06</v>
      </c>
      <c r="P544" t="str">
        <f t="shared" si="17"/>
        <v>January</v>
      </c>
    </row>
    <row r="545" spans="1:16" x14ac:dyDescent="0.25">
      <c r="A545" t="s">
        <v>577</v>
      </c>
      <c r="B545">
        <v>18</v>
      </c>
      <c r="C545" t="s">
        <v>15</v>
      </c>
      <c r="D545" t="s">
        <v>22</v>
      </c>
      <c r="E545" s="2">
        <v>45874</v>
      </c>
      <c r="F545" t="s">
        <v>29</v>
      </c>
      <c r="G545">
        <v>100</v>
      </c>
      <c r="H545">
        <v>1</v>
      </c>
      <c r="I545">
        <v>137.36850000000001</v>
      </c>
      <c r="J545">
        <v>8.06</v>
      </c>
      <c r="K545" t="s">
        <v>18</v>
      </c>
      <c r="L545">
        <v>7.3</v>
      </c>
      <c r="M545">
        <v>8</v>
      </c>
      <c r="N545" t="s">
        <v>34</v>
      </c>
      <c r="O545">
        <f t="shared" si="16"/>
        <v>245.42850000000001</v>
      </c>
      <c r="P545" t="str">
        <f t="shared" si="17"/>
        <v>August</v>
      </c>
    </row>
    <row r="546" spans="1:16" x14ac:dyDescent="0.25">
      <c r="A546" t="s">
        <v>578</v>
      </c>
      <c r="B546">
        <v>22</v>
      </c>
      <c r="C546" t="s">
        <v>15</v>
      </c>
      <c r="D546" t="s">
        <v>22</v>
      </c>
      <c r="E546" s="2">
        <v>45883</v>
      </c>
      <c r="F546" t="s">
        <v>29</v>
      </c>
      <c r="G546">
        <v>100</v>
      </c>
      <c r="H546">
        <v>3</v>
      </c>
      <c r="I546">
        <v>94.85</v>
      </c>
      <c r="J546">
        <v>10.19</v>
      </c>
      <c r="K546" t="s">
        <v>24</v>
      </c>
      <c r="L546">
        <v>7.9</v>
      </c>
      <c r="M546">
        <v>10</v>
      </c>
      <c r="N546" t="s">
        <v>34</v>
      </c>
      <c r="O546">
        <f t="shared" si="16"/>
        <v>405.04</v>
      </c>
      <c r="P546" t="str">
        <f t="shared" si="17"/>
        <v>August</v>
      </c>
    </row>
    <row r="547" spans="1:16" x14ac:dyDescent="0.25">
      <c r="A547" t="s">
        <v>579</v>
      </c>
      <c r="B547">
        <v>62</v>
      </c>
      <c r="C547" t="s">
        <v>15</v>
      </c>
      <c r="D547" t="s">
        <v>27</v>
      </c>
      <c r="E547" s="2">
        <v>45684</v>
      </c>
      <c r="F547" t="s">
        <v>23</v>
      </c>
      <c r="G547">
        <v>150</v>
      </c>
      <c r="H547">
        <v>1</v>
      </c>
      <c r="I547">
        <v>26.12</v>
      </c>
      <c r="J547">
        <v>12.72</v>
      </c>
      <c r="K547" t="s">
        <v>18</v>
      </c>
      <c r="L547">
        <v>10</v>
      </c>
      <c r="M547">
        <v>8</v>
      </c>
      <c r="N547" t="s">
        <v>25</v>
      </c>
      <c r="O547">
        <f t="shared" si="16"/>
        <v>188.84</v>
      </c>
      <c r="P547" t="str">
        <f t="shared" si="17"/>
        <v>January</v>
      </c>
    </row>
    <row r="548" spans="1:16" x14ac:dyDescent="0.25">
      <c r="A548" t="s">
        <v>580</v>
      </c>
      <c r="B548">
        <v>21</v>
      </c>
      <c r="C548" t="s">
        <v>15</v>
      </c>
      <c r="D548" t="s">
        <v>33</v>
      </c>
      <c r="E548" s="2">
        <v>45768</v>
      </c>
      <c r="F548" t="s">
        <v>23</v>
      </c>
      <c r="G548">
        <v>150</v>
      </c>
      <c r="H548">
        <v>1</v>
      </c>
      <c r="I548">
        <v>49.08</v>
      </c>
      <c r="J548">
        <v>19.13</v>
      </c>
      <c r="K548" t="s">
        <v>24</v>
      </c>
      <c r="L548">
        <v>8.6999999999999993</v>
      </c>
      <c r="M548">
        <v>6</v>
      </c>
      <c r="N548" t="s">
        <v>34</v>
      </c>
      <c r="O548">
        <f t="shared" si="16"/>
        <v>218.20999999999998</v>
      </c>
      <c r="P548" t="str">
        <f t="shared" si="17"/>
        <v>April</v>
      </c>
    </row>
    <row r="549" spans="1:16" x14ac:dyDescent="0.25">
      <c r="A549" t="s">
        <v>581</v>
      </c>
      <c r="B549">
        <v>33</v>
      </c>
      <c r="C549" t="s">
        <v>21</v>
      </c>
      <c r="D549" t="s">
        <v>16</v>
      </c>
      <c r="E549" s="2">
        <v>45705</v>
      </c>
      <c r="F549" t="s">
        <v>17</v>
      </c>
      <c r="G549">
        <v>200</v>
      </c>
      <c r="H549">
        <v>3</v>
      </c>
      <c r="I549">
        <v>69.11</v>
      </c>
      <c r="J549">
        <v>2.41</v>
      </c>
      <c r="K549" t="s">
        <v>18</v>
      </c>
      <c r="L549">
        <v>7.5</v>
      </c>
      <c r="M549">
        <v>10</v>
      </c>
      <c r="N549" t="s">
        <v>30</v>
      </c>
      <c r="O549">
        <f t="shared" si="16"/>
        <v>671.52</v>
      </c>
      <c r="P549" t="str">
        <f t="shared" si="17"/>
        <v>February</v>
      </c>
    </row>
    <row r="550" spans="1:16" x14ac:dyDescent="0.25">
      <c r="A550" t="s">
        <v>582</v>
      </c>
      <c r="B550">
        <v>41</v>
      </c>
      <c r="C550" t="s">
        <v>21</v>
      </c>
      <c r="D550" t="s">
        <v>27</v>
      </c>
      <c r="E550" s="2">
        <v>45719</v>
      </c>
      <c r="F550" t="s">
        <v>23</v>
      </c>
      <c r="G550">
        <v>150</v>
      </c>
      <c r="H550">
        <v>4</v>
      </c>
      <c r="I550">
        <v>66.22</v>
      </c>
      <c r="J550">
        <v>15.5</v>
      </c>
      <c r="K550" t="s">
        <v>18</v>
      </c>
      <c r="L550">
        <v>7</v>
      </c>
      <c r="M550">
        <v>8</v>
      </c>
      <c r="N550" t="s">
        <v>19</v>
      </c>
      <c r="O550">
        <f t="shared" si="16"/>
        <v>681.72</v>
      </c>
      <c r="P550" t="str">
        <f t="shared" si="17"/>
        <v>March</v>
      </c>
    </row>
    <row r="551" spans="1:16" x14ac:dyDescent="0.25">
      <c r="A551" t="s">
        <v>583</v>
      </c>
      <c r="B551">
        <v>33</v>
      </c>
      <c r="C551" t="s">
        <v>15</v>
      </c>
      <c r="D551" t="s">
        <v>22</v>
      </c>
      <c r="E551" s="2">
        <v>45872</v>
      </c>
      <c r="F551" t="s">
        <v>41</v>
      </c>
      <c r="G551">
        <v>60</v>
      </c>
      <c r="H551">
        <v>1</v>
      </c>
      <c r="I551">
        <v>43.36</v>
      </c>
      <c r="J551">
        <v>18.79</v>
      </c>
      <c r="K551" t="s">
        <v>18</v>
      </c>
      <c r="L551">
        <v>7.1</v>
      </c>
      <c r="M551">
        <v>4</v>
      </c>
      <c r="N551" t="s">
        <v>30</v>
      </c>
      <c r="O551">
        <f t="shared" si="16"/>
        <v>122.15</v>
      </c>
      <c r="P551" t="str">
        <f t="shared" si="17"/>
        <v>August</v>
      </c>
    </row>
    <row r="552" spans="1:16" x14ac:dyDescent="0.25">
      <c r="A552" t="s">
        <v>584</v>
      </c>
      <c r="B552">
        <v>19</v>
      </c>
      <c r="C552" t="s">
        <v>15</v>
      </c>
      <c r="D552" t="s">
        <v>40</v>
      </c>
      <c r="E552" s="2">
        <v>45733</v>
      </c>
      <c r="F552" t="s">
        <v>23</v>
      </c>
      <c r="G552">
        <v>150</v>
      </c>
      <c r="H552">
        <v>1</v>
      </c>
      <c r="I552">
        <v>137.36850000000001</v>
      </c>
      <c r="J552">
        <v>29.06</v>
      </c>
      <c r="K552" t="s">
        <v>24</v>
      </c>
      <c r="L552">
        <v>9.9</v>
      </c>
      <c r="M552">
        <v>9</v>
      </c>
      <c r="N552" t="s">
        <v>34</v>
      </c>
      <c r="O552">
        <f t="shared" si="16"/>
        <v>316.42850000000004</v>
      </c>
      <c r="P552" t="str">
        <f t="shared" si="17"/>
        <v>March</v>
      </c>
    </row>
    <row r="553" spans="1:16" x14ac:dyDescent="0.25">
      <c r="A553" t="s">
        <v>585</v>
      </c>
      <c r="B553">
        <v>66</v>
      </c>
      <c r="C553" t="s">
        <v>15</v>
      </c>
      <c r="D553" t="s">
        <v>36</v>
      </c>
      <c r="E553" s="2">
        <v>45713</v>
      </c>
      <c r="F553" t="s">
        <v>41</v>
      </c>
      <c r="G553">
        <v>60</v>
      </c>
      <c r="H553">
        <v>2</v>
      </c>
      <c r="I553">
        <v>9.99</v>
      </c>
      <c r="J553">
        <v>7.03</v>
      </c>
      <c r="K553" t="s">
        <v>18</v>
      </c>
      <c r="L553">
        <v>9.1</v>
      </c>
      <c r="M553">
        <v>9</v>
      </c>
      <c r="N553" t="s">
        <v>25</v>
      </c>
      <c r="O553">
        <f t="shared" si="16"/>
        <v>137.02000000000001</v>
      </c>
      <c r="P553" t="str">
        <f t="shared" si="17"/>
        <v>February</v>
      </c>
    </row>
    <row r="554" spans="1:16" x14ac:dyDescent="0.25">
      <c r="A554" t="s">
        <v>586</v>
      </c>
      <c r="B554">
        <v>45</v>
      </c>
      <c r="C554" t="s">
        <v>15</v>
      </c>
      <c r="D554" t="s">
        <v>27</v>
      </c>
      <c r="E554" s="2">
        <v>45903</v>
      </c>
      <c r="F554" t="s">
        <v>29</v>
      </c>
      <c r="G554">
        <v>100</v>
      </c>
      <c r="H554">
        <v>4</v>
      </c>
      <c r="I554">
        <v>51.51</v>
      </c>
      <c r="J554">
        <v>25</v>
      </c>
      <c r="K554" t="s">
        <v>24</v>
      </c>
      <c r="L554">
        <v>6.3</v>
      </c>
      <c r="M554">
        <v>7</v>
      </c>
      <c r="N554" t="s">
        <v>19</v>
      </c>
      <c r="O554">
        <f t="shared" si="16"/>
        <v>476.51</v>
      </c>
      <c r="P554" t="str">
        <f t="shared" si="17"/>
        <v>September</v>
      </c>
    </row>
    <row r="555" spans="1:16" x14ac:dyDescent="0.25">
      <c r="A555" t="s">
        <v>587</v>
      </c>
      <c r="B555">
        <v>49</v>
      </c>
      <c r="C555" t="s">
        <v>21</v>
      </c>
      <c r="D555" t="s">
        <v>33</v>
      </c>
      <c r="E555" s="2">
        <v>45844</v>
      </c>
      <c r="F555" t="s">
        <v>41</v>
      </c>
      <c r="G555">
        <v>60</v>
      </c>
      <c r="H555">
        <v>1</v>
      </c>
      <c r="I555">
        <v>67.680000000000007</v>
      </c>
      <c r="J555">
        <v>10.039999999999999</v>
      </c>
      <c r="K555" t="s">
        <v>24</v>
      </c>
      <c r="L555">
        <v>8.1</v>
      </c>
      <c r="M555">
        <v>8</v>
      </c>
      <c r="N555" t="s">
        <v>19</v>
      </c>
      <c r="O555">
        <f t="shared" si="16"/>
        <v>137.72</v>
      </c>
      <c r="P555" t="str">
        <f t="shared" si="17"/>
        <v>July</v>
      </c>
    </row>
    <row r="556" spans="1:16" x14ac:dyDescent="0.25">
      <c r="A556" t="s">
        <v>588</v>
      </c>
      <c r="B556">
        <v>44</v>
      </c>
      <c r="C556" t="s">
        <v>21</v>
      </c>
      <c r="D556" t="s">
        <v>22</v>
      </c>
      <c r="E556" s="2">
        <v>45889</v>
      </c>
      <c r="F556" t="s">
        <v>29</v>
      </c>
      <c r="G556">
        <v>100</v>
      </c>
      <c r="H556">
        <v>2</v>
      </c>
      <c r="I556">
        <v>27.51</v>
      </c>
      <c r="J556">
        <v>7.86</v>
      </c>
      <c r="K556" t="s">
        <v>24</v>
      </c>
      <c r="L556">
        <v>7.9</v>
      </c>
      <c r="M556">
        <v>9</v>
      </c>
      <c r="N556" t="s">
        <v>19</v>
      </c>
      <c r="O556">
        <f t="shared" si="16"/>
        <v>235.37</v>
      </c>
      <c r="P556" t="str">
        <f t="shared" si="17"/>
        <v>August</v>
      </c>
    </row>
    <row r="557" spans="1:16" x14ac:dyDescent="0.25">
      <c r="A557" t="s">
        <v>589</v>
      </c>
      <c r="B557">
        <v>37</v>
      </c>
      <c r="C557" t="s">
        <v>15</v>
      </c>
      <c r="D557" t="s">
        <v>16</v>
      </c>
      <c r="E557" s="2">
        <v>45889</v>
      </c>
      <c r="F557" t="s">
        <v>17</v>
      </c>
      <c r="G557">
        <v>200</v>
      </c>
      <c r="H557">
        <v>4</v>
      </c>
      <c r="I557">
        <v>109.89</v>
      </c>
      <c r="J557">
        <v>11.33</v>
      </c>
      <c r="K557" t="s">
        <v>18</v>
      </c>
      <c r="L557">
        <v>8.5</v>
      </c>
      <c r="M557">
        <v>9</v>
      </c>
      <c r="N557" t="s">
        <v>30</v>
      </c>
      <c r="O557">
        <f t="shared" si="16"/>
        <v>921.22</v>
      </c>
      <c r="P557" t="str">
        <f t="shared" si="17"/>
        <v>August</v>
      </c>
    </row>
    <row r="558" spans="1:16" x14ac:dyDescent="0.25">
      <c r="A558" t="s">
        <v>590</v>
      </c>
      <c r="B558">
        <v>41</v>
      </c>
      <c r="C558" t="s">
        <v>21</v>
      </c>
      <c r="D558" t="s">
        <v>22</v>
      </c>
      <c r="E558" s="2">
        <v>45812</v>
      </c>
      <c r="F558" t="s">
        <v>29</v>
      </c>
      <c r="G558">
        <v>100</v>
      </c>
      <c r="H558">
        <v>3</v>
      </c>
      <c r="I558">
        <v>63.46</v>
      </c>
      <c r="J558">
        <v>12.76</v>
      </c>
      <c r="K558" t="s">
        <v>24</v>
      </c>
      <c r="L558">
        <v>7.1</v>
      </c>
      <c r="M558">
        <v>6</v>
      </c>
      <c r="N558" t="s">
        <v>19</v>
      </c>
      <c r="O558">
        <f t="shared" si="16"/>
        <v>376.21999999999997</v>
      </c>
      <c r="P558" t="str">
        <f t="shared" si="17"/>
        <v>June</v>
      </c>
    </row>
    <row r="559" spans="1:16" x14ac:dyDescent="0.25">
      <c r="A559" t="s">
        <v>591</v>
      </c>
      <c r="B559">
        <v>29</v>
      </c>
      <c r="C559" t="s">
        <v>15</v>
      </c>
      <c r="D559" t="s">
        <v>16</v>
      </c>
      <c r="E559" s="2">
        <v>45807</v>
      </c>
      <c r="F559" t="s">
        <v>17</v>
      </c>
      <c r="G559">
        <v>200</v>
      </c>
      <c r="H559">
        <v>3</v>
      </c>
      <c r="I559">
        <v>57.11</v>
      </c>
      <c r="J559">
        <v>7.7</v>
      </c>
      <c r="K559" t="s">
        <v>24</v>
      </c>
      <c r="L559">
        <v>9.6</v>
      </c>
      <c r="M559">
        <v>10</v>
      </c>
      <c r="N559" t="s">
        <v>34</v>
      </c>
      <c r="O559">
        <f t="shared" si="16"/>
        <v>664.81000000000006</v>
      </c>
      <c r="P559" t="str">
        <f t="shared" si="17"/>
        <v>May</v>
      </c>
    </row>
    <row r="560" spans="1:16" x14ac:dyDescent="0.25">
      <c r="A560" t="s">
        <v>592</v>
      </c>
      <c r="B560">
        <v>67</v>
      </c>
      <c r="C560" t="s">
        <v>21</v>
      </c>
      <c r="D560" t="s">
        <v>27</v>
      </c>
      <c r="E560" s="2">
        <v>45768</v>
      </c>
      <c r="F560" t="s">
        <v>29</v>
      </c>
      <c r="G560">
        <v>100</v>
      </c>
      <c r="H560">
        <v>2</v>
      </c>
      <c r="I560">
        <v>78.42</v>
      </c>
      <c r="J560">
        <v>36.51</v>
      </c>
      <c r="K560" t="s">
        <v>18</v>
      </c>
      <c r="L560">
        <v>8</v>
      </c>
      <c r="M560">
        <v>10</v>
      </c>
      <c r="N560" t="s">
        <v>25</v>
      </c>
      <c r="O560">
        <f t="shared" si="16"/>
        <v>314.93</v>
      </c>
      <c r="P560" t="str">
        <f t="shared" si="17"/>
        <v>April</v>
      </c>
    </row>
    <row r="561" spans="1:16" x14ac:dyDescent="0.25">
      <c r="A561" t="s">
        <v>593</v>
      </c>
      <c r="B561">
        <v>52</v>
      </c>
      <c r="C561" t="s">
        <v>21</v>
      </c>
      <c r="D561" t="s">
        <v>16</v>
      </c>
      <c r="E561" s="2">
        <v>45844</v>
      </c>
      <c r="F561" t="s">
        <v>41</v>
      </c>
      <c r="G561">
        <v>60</v>
      </c>
      <c r="H561">
        <v>3</v>
      </c>
      <c r="I561">
        <v>57.58</v>
      </c>
      <c r="J561">
        <v>16.489999999999998</v>
      </c>
      <c r="K561" t="s">
        <v>18</v>
      </c>
      <c r="L561">
        <v>8.6</v>
      </c>
      <c r="M561">
        <v>7</v>
      </c>
      <c r="N561" t="s">
        <v>19</v>
      </c>
      <c r="O561">
        <f t="shared" si="16"/>
        <v>254.07</v>
      </c>
      <c r="P561" t="str">
        <f t="shared" si="17"/>
        <v>July</v>
      </c>
    </row>
    <row r="562" spans="1:16" x14ac:dyDescent="0.25">
      <c r="A562" t="s">
        <v>594</v>
      </c>
      <c r="B562">
        <v>50</v>
      </c>
      <c r="C562" t="s">
        <v>21</v>
      </c>
      <c r="D562" t="s">
        <v>52</v>
      </c>
      <c r="E562" s="2">
        <v>45694</v>
      </c>
      <c r="F562" t="s">
        <v>23</v>
      </c>
      <c r="G562">
        <v>150</v>
      </c>
      <c r="H562">
        <v>1</v>
      </c>
      <c r="I562">
        <v>88.85</v>
      </c>
      <c r="J562">
        <v>30.51</v>
      </c>
      <c r="K562" t="s">
        <v>18</v>
      </c>
      <c r="L562">
        <v>6.8</v>
      </c>
      <c r="M562">
        <v>5</v>
      </c>
      <c r="N562" t="s">
        <v>19</v>
      </c>
      <c r="O562">
        <f t="shared" si="16"/>
        <v>269.36</v>
      </c>
      <c r="P562" t="str">
        <f t="shared" si="17"/>
        <v>February</v>
      </c>
    </row>
    <row r="563" spans="1:16" x14ac:dyDescent="0.25">
      <c r="A563" t="s">
        <v>595</v>
      </c>
      <c r="B563">
        <v>50</v>
      </c>
      <c r="C563" t="s">
        <v>15</v>
      </c>
      <c r="D563" t="s">
        <v>52</v>
      </c>
      <c r="E563" s="2">
        <v>45841</v>
      </c>
      <c r="F563" t="s">
        <v>23</v>
      </c>
      <c r="G563">
        <v>150</v>
      </c>
      <c r="H563">
        <v>4</v>
      </c>
      <c r="I563">
        <v>4.74</v>
      </c>
      <c r="J563">
        <v>19.59</v>
      </c>
      <c r="K563" t="s">
        <v>18</v>
      </c>
      <c r="L563">
        <v>6.9</v>
      </c>
      <c r="M563">
        <v>9</v>
      </c>
      <c r="N563" t="s">
        <v>19</v>
      </c>
      <c r="O563">
        <f t="shared" si="16"/>
        <v>624.33000000000004</v>
      </c>
      <c r="P563" t="str">
        <f t="shared" si="17"/>
        <v>July</v>
      </c>
    </row>
    <row r="564" spans="1:16" x14ac:dyDescent="0.25">
      <c r="A564" t="s">
        <v>596</v>
      </c>
      <c r="B564">
        <v>68</v>
      </c>
      <c r="C564" t="s">
        <v>38</v>
      </c>
      <c r="D564" t="s">
        <v>52</v>
      </c>
      <c r="E564" s="2">
        <v>45852</v>
      </c>
      <c r="F564" t="s">
        <v>41</v>
      </c>
      <c r="G564">
        <v>60</v>
      </c>
      <c r="H564">
        <v>1</v>
      </c>
      <c r="I564">
        <v>7.37</v>
      </c>
      <c r="J564">
        <v>46.159499999999987</v>
      </c>
      <c r="K564" t="s">
        <v>18</v>
      </c>
      <c r="L564">
        <v>10</v>
      </c>
      <c r="M564">
        <v>7</v>
      </c>
      <c r="N564" t="s">
        <v>25</v>
      </c>
      <c r="O564">
        <f t="shared" si="16"/>
        <v>113.52949999999998</v>
      </c>
      <c r="P564" t="str">
        <f t="shared" si="17"/>
        <v>July</v>
      </c>
    </row>
    <row r="565" spans="1:16" x14ac:dyDescent="0.25">
      <c r="A565" t="s">
        <v>597</v>
      </c>
      <c r="B565">
        <v>60</v>
      </c>
      <c r="C565" t="s">
        <v>15</v>
      </c>
      <c r="D565" t="s">
        <v>33</v>
      </c>
      <c r="E565" s="2">
        <v>45727</v>
      </c>
      <c r="F565" t="s">
        <v>41</v>
      </c>
      <c r="G565">
        <v>60</v>
      </c>
      <c r="H565">
        <v>1</v>
      </c>
      <c r="I565">
        <v>96.17</v>
      </c>
      <c r="J565">
        <v>35.24</v>
      </c>
      <c r="K565" t="s">
        <v>24</v>
      </c>
      <c r="L565">
        <v>10</v>
      </c>
      <c r="M565">
        <v>9</v>
      </c>
      <c r="N565" t="s">
        <v>25</v>
      </c>
      <c r="O565">
        <f t="shared" si="16"/>
        <v>191.41000000000003</v>
      </c>
      <c r="P565" t="str">
        <f t="shared" si="17"/>
        <v>March</v>
      </c>
    </row>
    <row r="566" spans="1:16" x14ac:dyDescent="0.25">
      <c r="A566" t="s">
        <v>598</v>
      </c>
      <c r="B566">
        <v>54</v>
      </c>
      <c r="C566" t="s">
        <v>15</v>
      </c>
      <c r="D566" t="s">
        <v>33</v>
      </c>
      <c r="E566" s="2">
        <v>45703</v>
      </c>
      <c r="F566" t="s">
        <v>29</v>
      </c>
      <c r="G566">
        <v>100</v>
      </c>
      <c r="H566">
        <v>3</v>
      </c>
      <c r="I566">
        <v>49.96</v>
      </c>
      <c r="J566">
        <v>12.23</v>
      </c>
      <c r="K566" t="s">
        <v>18</v>
      </c>
      <c r="L566">
        <v>7.9</v>
      </c>
      <c r="M566">
        <v>10</v>
      </c>
      <c r="N566" t="s">
        <v>19</v>
      </c>
      <c r="O566">
        <f t="shared" si="16"/>
        <v>362.19</v>
      </c>
      <c r="P566" t="str">
        <f t="shared" si="17"/>
        <v>February</v>
      </c>
    </row>
    <row r="567" spans="1:16" x14ac:dyDescent="0.25">
      <c r="A567" t="s">
        <v>599</v>
      </c>
      <c r="B567">
        <v>29</v>
      </c>
      <c r="C567" t="s">
        <v>15</v>
      </c>
      <c r="D567" t="s">
        <v>40</v>
      </c>
      <c r="E567" s="2">
        <v>45695</v>
      </c>
      <c r="F567" t="s">
        <v>23</v>
      </c>
      <c r="G567">
        <v>150</v>
      </c>
      <c r="H567">
        <v>1</v>
      </c>
      <c r="I567">
        <v>26.92</v>
      </c>
      <c r="J567">
        <v>10.28</v>
      </c>
      <c r="K567" t="s">
        <v>18</v>
      </c>
      <c r="L567">
        <v>10</v>
      </c>
      <c r="M567">
        <v>6</v>
      </c>
      <c r="N567" t="s">
        <v>34</v>
      </c>
      <c r="O567">
        <f t="shared" si="16"/>
        <v>187.20000000000002</v>
      </c>
      <c r="P567" t="str">
        <f t="shared" si="17"/>
        <v>February</v>
      </c>
    </row>
    <row r="568" spans="1:16" x14ac:dyDescent="0.25">
      <c r="A568" t="s">
        <v>600</v>
      </c>
      <c r="B568">
        <v>20</v>
      </c>
      <c r="C568" t="s">
        <v>15</v>
      </c>
      <c r="D568" t="s">
        <v>33</v>
      </c>
      <c r="E568" s="2">
        <v>45711</v>
      </c>
      <c r="F568" t="s">
        <v>29</v>
      </c>
      <c r="G568">
        <v>100</v>
      </c>
      <c r="H568">
        <v>3</v>
      </c>
      <c r="I568">
        <v>62.91</v>
      </c>
      <c r="J568">
        <v>21.46</v>
      </c>
      <c r="K568" t="s">
        <v>24</v>
      </c>
      <c r="L568">
        <v>9.8000000000000007</v>
      </c>
      <c r="M568">
        <v>7</v>
      </c>
      <c r="N568" t="s">
        <v>34</v>
      </c>
      <c r="O568">
        <f t="shared" si="16"/>
        <v>384.36999999999995</v>
      </c>
      <c r="P568" t="str">
        <f t="shared" si="17"/>
        <v>February</v>
      </c>
    </row>
    <row r="569" spans="1:16" x14ac:dyDescent="0.25">
      <c r="A569" t="s">
        <v>601</v>
      </c>
      <c r="B569">
        <v>18</v>
      </c>
      <c r="C569" t="s">
        <v>38</v>
      </c>
      <c r="D569" t="s">
        <v>27</v>
      </c>
      <c r="E569" s="2">
        <v>45772</v>
      </c>
      <c r="F569" t="s">
        <v>23</v>
      </c>
      <c r="G569">
        <v>150</v>
      </c>
      <c r="H569">
        <v>4</v>
      </c>
      <c r="I569">
        <v>48.83</v>
      </c>
      <c r="J569">
        <v>20.62</v>
      </c>
      <c r="K569" t="s">
        <v>18</v>
      </c>
      <c r="L569">
        <v>7.1</v>
      </c>
      <c r="M569">
        <v>8</v>
      </c>
      <c r="N569" t="s">
        <v>34</v>
      </c>
      <c r="O569">
        <f t="shared" si="16"/>
        <v>669.45</v>
      </c>
      <c r="P569" t="str">
        <f t="shared" si="17"/>
        <v>April</v>
      </c>
    </row>
    <row r="570" spans="1:16" x14ac:dyDescent="0.25">
      <c r="A570" t="s">
        <v>602</v>
      </c>
      <c r="B570">
        <v>50</v>
      </c>
      <c r="C570" t="s">
        <v>21</v>
      </c>
      <c r="D570" t="s">
        <v>22</v>
      </c>
      <c r="E570" s="2">
        <v>45755</v>
      </c>
      <c r="F570" t="s">
        <v>41</v>
      </c>
      <c r="G570">
        <v>60</v>
      </c>
      <c r="H570">
        <v>4</v>
      </c>
      <c r="I570">
        <v>24.71</v>
      </c>
      <c r="J570">
        <v>13.94</v>
      </c>
      <c r="K570" t="s">
        <v>24</v>
      </c>
      <c r="L570">
        <v>6.9</v>
      </c>
      <c r="M570">
        <v>10</v>
      </c>
      <c r="N570" t="s">
        <v>19</v>
      </c>
      <c r="O570">
        <f t="shared" si="16"/>
        <v>278.64999999999998</v>
      </c>
      <c r="P570" t="str">
        <f t="shared" si="17"/>
        <v>April</v>
      </c>
    </row>
    <row r="571" spans="1:16" x14ac:dyDescent="0.25">
      <c r="A571" t="s">
        <v>603</v>
      </c>
      <c r="B571">
        <v>57</v>
      </c>
      <c r="C571" t="s">
        <v>15</v>
      </c>
      <c r="D571" t="s">
        <v>22</v>
      </c>
      <c r="E571" s="2">
        <v>45807</v>
      </c>
      <c r="F571" t="s">
        <v>41</v>
      </c>
      <c r="G571">
        <v>60</v>
      </c>
      <c r="H571">
        <v>1</v>
      </c>
      <c r="I571">
        <v>137.36850000000001</v>
      </c>
      <c r="J571">
        <v>44.74</v>
      </c>
      <c r="K571" t="s">
        <v>18</v>
      </c>
      <c r="L571">
        <v>9</v>
      </c>
      <c r="M571">
        <v>10</v>
      </c>
      <c r="N571" t="s">
        <v>19</v>
      </c>
      <c r="O571">
        <f t="shared" si="16"/>
        <v>242.10850000000002</v>
      </c>
      <c r="P571" t="str">
        <f t="shared" si="17"/>
        <v>May</v>
      </c>
    </row>
    <row r="572" spans="1:16" x14ac:dyDescent="0.25">
      <c r="A572" t="s">
        <v>604</v>
      </c>
      <c r="B572">
        <v>27</v>
      </c>
      <c r="C572" t="s">
        <v>21</v>
      </c>
      <c r="D572" t="s">
        <v>40</v>
      </c>
      <c r="E572" s="2">
        <v>45839</v>
      </c>
      <c r="F572" t="s">
        <v>41</v>
      </c>
      <c r="G572">
        <v>60</v>
      </c>
      <c r="H572">
        <v>2</v>
      </c>
      <c r="I572">
        <v>137.36850000000001</v>
      </c>
      <c r="J572">
        <v>40.07</v>
      </c>
      <c r="K572" t="s">
        <v>18</v>
      </c>
      <c r="L572">
        <v>8.4</v>
      </c>
      <c r="M572">
        <v>8</v>
      </c>
      <c r="N572" t="s">
        <v>34</v>
      </c>
      <c r="O572">
        <f t="shared" si="16"/>
        <v>297.43850000000003</v>
      </c>
      <c r="P572" t="str">
        <f t="shared" si="17"/>
        <v>July</v>
      </c>
    </row>
    <row r="573" spans="1:16" x14ac:dyDescent="0.25">
      <c r="A573" t="s">
        <v>605</v>
      </c>
      <c r="B573">
        <v>60</v>
      </c>
      <c r="C573" t="s">
        <v>38</v>
      </c>
      <c r="D573" t="s">
        <v>33</v>
      </c>
      <c r="E573" s="2">
        <v>45840</v>
      </c>
      <c r="F573" t="s">
        <v>41</v>
      </c>
      <c r="G573">
        <v>60</v>
      </c>
      <c r="H573">
        <v>3</v>
      </c>
      <c r="I573">
        <v>30.63</v>
      </c>
      <c r="J573">
        <v>18.149999999999999</v>
      </c>
      <c r="K573" t="s">
        <v>18</v>
      </c>
      <c r="L573">
        <v>7.4</v>
      </c>
      <c r="M573">
        <v>6</v>
      </c>
      <c r="N573" t="s">
        <v>25</v>
      </c>
      <c r="O573">
        <f t="shared" si="16"/>
        <v>228.78</v>
      </c>
      <c r="P573" t="str">
        <f t="shared" si="17"/>
        <v>July</v>
      </c>
    </row>
    <row r="574" spans="1:16" x14ac:dyDescent="0.25">
      <c r="A574" t="s">
        <v>606</v>
      </c>
      <c r="B574">
        <v>61</v>
      </c>
      <c r="C574" t="s">
        <v>21</v>
      </c>
      <c r="D574" t="s">
        <v>16</v>
      </c>
      <c r="E574" s="2">
        <v>45723</v>
      </c>
      <c r="F574" t="s">
        <v>17</v>
      </c>
      <c r="G574">
        <v>200</v>
      </c>
      <c r="H574">
        <v>3</v>
      </c>
      <c r="I574">
        <v>31.02</v>
      </c>
      <c r="J574">
        <v>37.11</v>
      </c>
      <c r="K574" t="s">
        <v>18</v>
      </c>
      <c r="L574">
        <v>9.1</v>
      </c>
      <c r="M574">
        <v>8</v>
      </c>
      <c r="N574" t="s">
        <v>25</v>
      </c>
      <c r="O574">
        <f t="shared" si="16"/>
        <v>668.13</v>
      </c>
      <c r="P574" t="str">
        <f t="shared" si="17"/>
        <v>March</v>
      </c>
    </row>
    <row r="575" spans="1:16" x14ac:dyDescent="0.25">
      <c r="A575" t="s">
        <v>607</v>
      </c>
      <c r="B575">
        <v>46</v>
      </c>
      <c r="C575" t="s">
        <v>21</v>
      </c>
      <c r="D575" t="s">
        <v>40</v>
      </c>
      <c r="E575" s="2">
        <v>45722</v>
      </c>
      <c r="F575" t="s">
        <v>41</v>
      </c>
      <c r="G575">
        <v>60</v>
      </c>
      <c r="H575">
        <v>1</v>
      </c>
      <c r="I575">
        <v>25.81</v>
      </c>
      <c r="J575">
        <v>10.61</v>
      </c>
      <c r="K575" t="s">
        <v>18</v>
      </c>
      <c r="L575">
        <v>5.8</v>
      </c>
      <c r="M575">
        <v>7</v>
      </c>
      <c r="N575" t="s">
        <v>19</v>
      </c>
      <c r="O575">
        <f t="shared" si="16"/>
        <v>96.42</v>
      </c>
      <c r="P575" t="str">
        <f t="shared" si="17"/>
        <v>March</v>
      </c>
    </row>
    <row r="576" spans="1:16" x14ac:dyDescent="0.25">
      <c r="A576" t="s">
        <v>608</v>
      </c>
      <c r="B576">
        <v>30</v>
      </c>
      <c r="C576" t="s">
        <v>38</v>
      </c>
      <c r="D576" t="s">
        <v>16</v>
      </c>
      <c r="E576" s="2">
        <v>45740</v>
      </c>
      <c r="F576" t="s">
        <v>41</v>
      </c>
      <c r="G576">
        <v>60</v>
      </c>
      <c r="H576">
        <v>3</v>
      </c>
      <c r="I576">
        <v>35.99</v>
      </c>
      <c r="J576">
        <v>21.47</v>
      </c>
      <c r="K576" t="s">
        <v>24</v>
      </c>
      <c r="L576">
        <v>8.1999999999999993</v>
      </c>
      <c r="M576">
        <v>9</v>
      </c>
      <c r="N576" t="s">
        <v>30</v>
      </c>
      <c r="O576">
        <f t="shared" si="16"/>
        <v>237.46</v>
      </c>
      <c r="P576" t="str">
        <f t="shared" si="17"/>
        <v>March</v>
      </c>
    </row>
    <row r="577" spans="1:16" x14ac:dyDescent="0.25">
      <c r="A577" t="s">
        <v>609</v>
      </c>
      <c r="B577">
        <v>29</v>
      </c>
      <c r="C577" t="s">
        <v>38</v>
      </c>
      <c r="D577" t="s">
        <v>16</v>
      </c>
      <c r="E577" s="2">
        <v>45908</v>
      </c>
      <c r="F577" t="s">
        <v>17</v>
      </c>
      <c r="G577">
        <v>200</v>
      </c>
      <c r="H577">
        <v>3</v>
      </c>
      <c r="I577">
        <v>83.96</v>
      </c>
      <c r="J577">
        <v>15.7</v>
      </c>
      <c r="K577" t="s">
        <v>18</v>
      </c>
      <c r="L577">
        <v>6.1</v>
      </c>
      <c r="M577">
        <v>9</v>
      </c>
      <c r="N577" t="s">
        <v>34</v>
      </c>
      <c r="O577">
        <f t="shared" si="16"/>
        <v>699.66000000000008</v>
      </c>
      <c r="P577" t="str">
        <f t="shared" si="17"/>
        <v>September</v>
      </c>
    </row>
    <row r="578" spans="1:16" x14ac:dyDescent="0.25">
      <c r="A578" t="s">
        <v>610</v>
      </c>
      <c r="B578">
        <v>48</v>
      </c>
      <c r="C578" t="s">
        <v>21</v>
      </c>
      <c r="D578" t="s">
        <v>36</v>
      </c>
      <c r="E578" s="2">
        <v>45747</v>
      </c>
      <c r="F578" t="s">
        <v>41</v>
      </c>
      <c r="G578">
        <v>60</v>
      </c>
      <c r="H578">
        <v>2</v>
      </c>
      <c r="I578">
        <v>54.32</v>
      </c>
      <c r="J578">
        <v>12.31</v>
      </c>
      <c r="K578" t="s">
        <v>24</v>
      </c>
      <c r="L578">
        <v>6.2</v>
      </c>
      <c r="M578">
        <v>6</v>
      </c>
      <c r="N578" t="s">
        <v>19</v>
      </c>
      <c r="O578">
        <f t="shared" si="16"/>
        <v>186.63</v>
      </c>
      <c r="P578" t="str">
        <f t="shared" si="17"/>
        <v>March</v>
      </c>
    </row>
    <row r="579" spans="1:16" x14ac:dyDescent="0.25">
      <c r="A579" t="s">
        <v>611</v>
      </c>
      <c r="B579">
        <v>63</v>
      </c>
      <c r="C579" t="s">
        <v>15</v>
      </c>
      <c r="D579" t="s">
        <v>22</v>
      </c>
      <c r="E579" s="2">
        <v>45698</v>
      </c>
      <c r="F579" t="s">
        <v>23</v>
      </c>
      <c r="G579">
        <v>150</v>
      </c>
      <c r="H579">
        <v>2</v>
      </c>
      <c r="I579">
        <v>35.5</v>
      </c>
      <c r="J579">
        <v>7</v>
      </c>
      <c r="K579" t="s">
        <v>18</v>
      </c>
      <c r="L579">
        <v>6.9</v>
      </c>
      <c r="M579">
        <v>7</v>
      </c>
      <c r="N579" t="s">
        <v>25</v>
      </c>
      <c r="O579">
        <f t="shared" ref="O579:O642" si="18">(G579*H579)+I579+J579</f>
        <v>342.5</v>
      </c>
      <c r="P579" t="str">
        <f t="shared" ref="P579:P642" si="19">TEXT(E579, "mmmm")</f>
        <v>February</v>
      </c>
    </row>
    <row r="580" spans="1:16" x14ac:dyDescent="0.25">
      <c r="A580" t="s">
        <v>612</v>
      </c>
      <c r="B580">
        <v>19</v>
      </c>
      <c r="C580" t="s">
        <v>15</v>
      </c>
      <c r="D580" t="s">
        <v>52</v>
      </c>
      <c r="E580" s="2">
        <v>45754</v>
      </c>
      <c r="F580" t="s">
        <v>29</v>
      </c>
      <c r="G580">
        <v>100</v>
      </c>
      <c r="H580">
        <v>1</v>
      </c>
      <c r="I580">
        <v>45.45</v>
      </c>
      <c r="J580">
        <v>24.23</v>
      </c>
      <c r="K580" t="s">
        <v>18</v>
      </c>
      <c r="L580">
        <v>8.5</v>
      </c>
      <c r="M580">
        <v>8</v>
      </c>
      <c r="N580" t="s">
        <v>34</v>
      </c>
      <c r="O580">
        <f t="shared" si="18"/>
        <v>169.67999999999998</v>
      </c>
      <c r="P580" t="str">
        <f t="shared" si="19"/>
        <v>April</v>
      </c>
    </row>
    <row r="581" spans="1:16" x14ac:dyDescent="0.25">
      <c r="A581" t="s">
        <v>613</v>
      </c>
      <c r="B581">
        <v>68</v>
      </c>
      <c r="C581" t="s">
        <v>21</v>
      </c>
      <c r="D581" t="s">
        <v>33</v>
      </c>
      <c r="E581" s="2">
        <v>45797</v>
      </c>
      <c r="F581" t="s">
        <v>41</v>
      </c>
      <c r="G581">
        <v>60</v>
      </c>
      <c r="H581">
        <v>2</v>
      </c>
      <c r="I581">
        <v>35.82</v>
      </c>
      <c r="J581">
        <v>6.58</v>
      </c>
      <c r="K581" t="s">
        <v>18</v>
      </c>
      <c r="L581">
        <v>7</v>
      </c>
      <c r="M581">
        <v>8</v>
      </c>
      <c r="N581" t="s">
        <v>25</v>
      </c>
      <c r="O581">
        <f t="shared" si="18"/>
        <v>162.4</v>
      </c>
      <c r="P581" t="str">
        <f t="shared" si="19"/>
        <v>May</v>
      </c>
    </row>
    <row r="582" spans="1:16" x14ac:dyDescent="0.25">
      <c r="A582" t="s">
        <v>614</v>
      </c>
      <c r="B582">
        <v>67</v>
      </c>
      <c r="C582" t="s">
        <v>15</v>
      </c>
      <c r="D582" t="s">
        <v>16</v>
      </c>
      <c r="E582" s="2">
        <v>45893</v>
      </c>
      <c r="F582" t="s">
        <v>29</v>
      </c>
      <c r="G582">
        <v>100</v>
      </c>
      <c r="H582">
        <v>1</v>
      </c>
      <c r="I582">
        <v>23.64</v>
      </c>
      <c r="J582">
        <v>26.11</v>
      </c>
      <c r="K582" t="s">
        <v>18</v>
      </c>
      <c r="L582">
        <v>6.2</v>
      </c>
      <c r="M582">
        <v>8</v>
      </c>
      <c r="N582" t="s">
        <v>25</v>
      </c>
      <c r="O582">
        <f t="shared" si="18"/>
        <v>149.75</v>
      </c>
      <c r="P582" t="str">
        <f t="shared" si="19"/>
        <v>August</v>
      </c>
    </row>
    <row r="583" spans="1:16" x14ac:dyDescent="0.25">
      <c r="A583" t="s">
        <v>615</v>
      </c>
      <c r="B583">
        <v>52</v>
      </c>
      <c r="C583" t="s">
        <v>21</v>
      </c>
      <c r="D583" t="s">
        <v>36</v>
      </c>
      <c r="E583" s="2">
        <v>45721</v>
      </c>
      <c r="F583" t="s">
        <v>17</v>
      </c>
      <c r="G583">
        <v>200</v>
      </c>
      <c r="H583">
        <v>4</v>
      </c>
      <c r="I583">
        <v>19.82</v>
      </c>
      <c r="J583">
        <v>15.62</v>
      </c>
      <c r="K583" t="s">
        <v>24</v>
      </c>
      <c r="L583">
        <v>8.6999999999999993</v>
      </c>
      <c r="M583">
        <v>8</v>
      </c>
      <c r="N583" t="s">
        <v>19</v>
      </c>
      <c r="O583">
        <f t="shared" si="18"/>
        <v>835.44</v>
      </c>
      <c r="P583" t="str">
        <f t="shared" si="19"/>
        <v>March</v>
      </c>
    </row>
    <row r="584" spans="1:16" x14ac:dyDescent="0.25">
      <c r="A584" t="s">
        <v>616</v>
      </c>
      <c r="B584">
        <v>40</v>
      </c>
      <c r="C584" t="s">
        <v>15</v>
      </c>
      <c r="D584" t="s">
        <v>22</v>
      </c>
      <c r="E584" s="2">
        <v>45667</v>
      </c>
      <c r="F584" t="s">
        <v>29</v>
      </c>
      <c r="G584">
        <v>100</v>
      </c>
      <c r="H584">
        <v>1</v>
      </c>
      <c r="I584">
        <v>18.53</v>
      </c>
      <c r="J584">
        <v>46.159499999999987</v>
      </c>
      <c r="K584" t="s">
        <v>24</v>
      </c>
      <c r="L584">
        <v>10</v>
      </c>
      <c r="M584">
        <v>10</v>
      </c>
      <c r="N584" t="s">
        <v>19</v>
      </c>
      <c r="O584">
        <f t="shared" si="18"/>
        <v>164.68949999999998</v>
      </c>
      <c r="P584" t="str">
        <f t="shared" si="19"/>
        <v>January</v>
      </c>
    </row>
    <row r="585" spans="1:16" x14ac:dyDescent="0.25">
      <c r="A585" t="s">
        <v>617</v>
      </c>
      <c r="B585">
        <v>34</v>
      </c>
      <c r="C585" t="s">
        <v>15</v>
      </c>
      <c r="D585" t="s">
        <v>52</v>
      </c>
      <c r="E585" s="2">
        <v>45834</v>
      </c>
      <c r="F585" t="s">
        <v>29</v>
      </c>
      <c r="G585">
        <v>100</v>
      </c>
      <c r="H585">
        <v>4</v>
      </c>
      <c r="I585">
        <v>62</v>
      </c>
      <c r="J585">
        <v>24.81</v>
      </c>
      <c r="K585" t="s">
        <v>24</v>
      </c>
      <c r="L585">
        <v>9</v>
      </c>
      <c r="M585">
        <v>7</v>
      </c>
      <c r="N585" t="s">
        <v>30</v>
      </c>
      <c r="O585">
        <f t="shared" si="18"/>
        <v>486.81</v>
      </c>
      <c r="P585" t="str">
        <f t="shared" si="19"/>
        <v>June</v>
      </c>
    </row>
    <row r="586" spans="1:16" x14ac:dyDescent="0.25">
      <c r="A586" t="s">
        <v>618</v>
      </c>
      <c r="B586">
        <v>43</v>
      </c>
      <c r="C586" t="s">
        <v>15</v>
      </c>
      <c r="D586" t="s">
        <v>16</v>
      </c>
      <c r="E586" s="2">
        <v>45712</v>
      </c>
      <c r="F586" t="s">
        <v>41</v>
      </c>
      <c r="G586">
        <v>60</v>
      </c>
      <c r="H586">
        <v>1</v>
      </c>
      <c r="I586">
        <v>103.44</v>
      </c>
      <c r="J586">
        <v>21.22</v>
      </c>
      <c r="K586" t="s">
        <v>18</v>
      </c>
      <c r="L586">
        <v>10</v>
      </c>
      <c r="M586">
        <v>7</v>
      </c>
      <c r="N586" t="s">
        <v>19</v>
      </c>
      <c r="O586">
        <f t="shared" si="18"/>
        <v>184.66</v>
      </c>
      <c r="P586" t="str">
        <f t="shared" si="19"/>
        <v>February</v>
      </c>
    </row>
    <row r="587" spans="1:16" x14ac:dyDescent="0.25">
      <c r="A587" t="s">
        <v>619</v>
      </c>
      <c r="B587">
        <v>25</v>
      </c>
      <c r="C587" t="s">
        <v>15</v>
      </c>
      <c r="D587" t="s">
        <v>16</v>
      </c>
      <c r="E587" s="2">
        <v>45764</v>
      </c>
      <c r="F587" t="s">
        <v>29</v>
      </c>
      <c r="G587">
        <v>100</v>
      </c>
      <c r="H587">
        <v>3</v>
      </c>
      <c r="I587">
        <v>56.77</v>
      </c>
      <c r="J587">
        <v>21.02</v>
      </c>
      <c r="K587" t="s">
        <v>18</v>
      </c>
      <c r="L587">
        <v>10</v>
      </c>
      <c r="M587">
        <v>6</v>
      </c>
      <c r="N587" t="s">
        <v>34</v>
      </c>
      <c r="O587">
        <f t="shared" si="18"/>
        <v>377.78999999999996</v>
      </c>
      <c r="P587" t="str">
        <f t="shared" si="19"/>
        <v>April</v>
      </c>
    </row>
    <row r="588" spans="1:16" x14ac:dyDescent="0.25">
      <c r="A588" t="s">
        <v>620</v>
      </c>
      <c r="B588">
        <v>46</v>
      </c>
      <c r="C588" t="s">
        <v>38</v>
      </c>
      <c r="D588" t="s">
        <v>40</v>
      </c>
      <c r="E588" s="2">
        <v>45770</v>
      </c>
      <c r="F588" t="s">
        <v>23</v>
      </c>
      <c r="G588">
        <v>150</v>
      </c>
      <c r="H588">
        <v>2</v>
      </c>
      <c r="I588">
        <v>5.73</v>
      </c>
      <c r="J588">
        <v>4.43</v>
      </c>
      <c r="K588" t="s">
        <v>18</v>
      </c>
      <c r="L588">
        <v>7.3</v>
      </c>
      <c r="M588">
        <v>8</v>
      </c>
      <c r="N588" t="s">
        <v>19</v>
      </c>
      <c r="O588">
        <f t="shared" si="18"/>
        <v>310.16000000000003</v>
      </c>
      <c r="P588" t="str">
        <f t="shared" si="19"/>
        <v>April</v>
      </c>
    </row>
    <row r="589" spans="1:16" x14ac:dyDescent="0.25">
      <c r="A589" t="s">
        <v>621</v>
      </c>
      <c r="B589">
        <v>43</v>
      </c>
      <c r="C589" t="s">
        <v>21</v>
      </c>
      <c r="D589" t="s">
        <v>40</v>
      </c>
      <c r="E589" s="2">
        <v>45872</v>
      </c>
      <c r="F589" t="s">
        <v>41</v>
      </c>
      <c r="G589">
        <v>60</v>
      </c>
      <c r="H589">
        <v>4</v>
      </c>
      <c r="I589">
        <v>60.78</v>
      </c>
      <c r="J589">
        <v>2.7</v>
      </c>
      <c r="K589" t="s">
        <v>24</v>
      </c>
      <c r="L589">
        <v>8.9</v>
      </c>
      <c r="M589">
        <v>8</v>
      </c>
      <c r="N589" t="s">
        <v>19</v>
      </c>
      <c r="O589">
        <f t="shared" si="18"/>
        <v>303.47999999999996</v>
      </c>
      <c r="P589" t="str">
        <f t="shared" si="19"/>
        <v>August</v>
      </c>
    </row>
    <row r="590" spans="1:16" x14ac:dyDescent="0.25">
      <c r="A590" t="s">
        <v>622</v>
      </c>
      <c r="B590">
        <v>27</v>
      </c>
      <c r="C590" t="s">
        <v>21</v>
      </c>
      <c r="D590" t="s">
        <v>22</v>
      </c>
      <c r="E590" s="2">
        <v>45868</v>
      </c>
      <c r="F590" t="s">
        <v>29</v>
      </c>
      <c r="G590">
        <v>100</v>
      </c>
      <c r="H590">
        <v>1</v>
      </c>
      <c r="I590">
        <v>29.53</v>
      </c>
      <c r="J590">
        <v>12.87</v>
      </c>
      <c r="K590" t="s">
        <v>18</v>
      </c>
      <c r="L590">
        <v>7.9</v>
      </c>
      <c r="M590">
        <v>5</v>
      </c>
      <c r="N590" t="s">
        <v>34</v>
      </c>
      <c r="O590">
        <f t="shared" si="18"/>
        <v>142.4</v>
      </c>
      <c r="P590" t="str">
        <f t="shared" si="19"/>
        <v>July</v>
      </c>
    </row>
    <row r="591" spans="1:16" x14ac:dyDescent="0.25">
      <c r="A591" t="s">
        <v>623</v>
      </c>
      <c r="B591">
        <v>43</v>
      </c>
      <c r="C591" t="s">
        <v>21</v>
      </c>
      <c r="D591" t="s">
        <v>52</v>
      </c>
      <c r="E591" s="2">
        <v>45778</v>
      </c>
      <c r="F591" t="s">
        <v>29</v>
      </c>
      <c r="G591">
        <v>100</v>
      </c>
      <c r="H591">
        <v>2</v>
      </c>
      <c r="I591">
        <v>20.23</v>
      </c>
      <c r="J591">
        <v>19.16</v>
      </c>
      <c r="K591" t="s">
        <v>18</v>
      </c>
      <c r="L591">
        <v>9.6</v>
      </c>
      <c r="M591">
        <v>8</v>
      </c>
      <c r="N591" t="s">
        <v>19</v>
      </c>
      <c r="O591">
        <f t="shared" si="18"/>
        <v>239.39</v>
      </c>
      <c r="P591" t="str">
        <f t="shared" si="19"/>
        <v>May</v>
      </c>
    </row>
    <row r="592" spans="1:16" x14ac:dyDescent="0.25">
      <c r="A592" t="s">
        <v>624</v>
      </c>
      <c r="B592">
        <v>51</v>
      </c>
      <c r="C592" t="s">
        <v>15</v>
      </c>
      <c r="D592" t="s">
        <v>16</v>
      </c>
      <c r="E592" s="2">
        <v>45904</v>
      </c>
      <c r="F592" t="s">
        <v>29</v>
      </c>
      <c r="G592">
        <v>100</v>
      </c>
      <c r="H592">
        <v>1</v>
      </c>
      <c r="I592">
        <v>13.14</v>
      </c>
      <c r="J592">
        <v>32.880000000000003</v>
      </c>
      <c r="K592" t="s">
        <v>18</v>
      </c>
      <c r="L592">
        <v>7.9</v>
      </c>
      <c r="M592">
        <v>10</v>
      </c>
      <c r="N592" t="s">
        <v>19</v>
      </c>
      <c r="O592">
        <f t="shared" si="18"/>
        <v>146.02000000000001</v>
      </c>
      <c r="P592" t="str">
        <f t="shared" si="19"/>
        <v>September</v>
      </c>
    </row>
    <row r="593" spans="1:16" x14ac:dyDescent="0.25">
      <c r="A593" t="s">
        <v>625</v>
      </c>
      <c r="B593">
        <v>68</v>
      </c>
      <c r="C593" t="s">
        <v>21</v>
      </c>
      <c r="D593" t="s">
        <v>22</v>
      </c>
      <c r="E593" s="2">
        <v>45908</v>
      </c>
      <c r="F593" t="s">
        <v>41</v>
      </c>
      <c r="G593">
        <v>60</v>
      </c>
      <c r="H593">
        <v>2</v>
      </c>
      <c r="I593">
        <v>20.18</v>
      </c>
      <c r="J593">
        <v>11.35</v>
      </c>
      <c r="K593" t="s">
        <v>18</v>
      </c>
      <c r="L593">
        <v>6.8</v>
      </c>
      <c r="M593">
        <v>9</v>
      </c>
      <c r="N593" t="s">
        <v>25</v>
      </c>
      <c r="O593">
        <f t="shared" si="18"/>
        <v>151.53</v>
      </c>
      <c r="P593" t="str">
        <f t="shared" si="19"/>
        <v>September</v>
      </c>
    </row>
    <row r="594" spans="1:16" x14ac:dyDescent="0.25">
      <c r="A594" t="s">
        <v>626</v>
      </c>
      <c r="B594">
        <v>58</v>
      </c>
      <c r="C594" t="s">
        <v>21</v>
      </c>
      <c r="D594" t="s">
        <v>22</v>
      </c>
      <c r="E594" s="2">
        <v>45777</v>
      </c>
      <c r="F594" t="s">
        <v>29</v>
      </c>
      <c r="G594">
        <v>100</v>
      </c>
      <c r="H594">
        <v>2</v>
      </c>
      <c r="I594">
        <v>20.77</v>
      </c>
      <c r="J594">
        <v>46.159499999999987</v>
      </c>
      <c r="K594" t="s">
        <v>18</v>
      </c>
      <c r="L594">
        <v>10</v>
      </c>
      <c r="M594">
        <v>9</v>
      </c>
      <c r="N594" t="s">
        <v>19</v>
      </c>
      <c r="O594">
        <f t="shared" si="18"/>
        <v>266.92950000000002</v>
      </c>
      <c r="P594" t="str">
        <f t="shared" si="19"/>
        <v>April</v>
      </c>
    </row>
    <row r="595" spans="1:16" x14ac:dyDescent="0.25">
      <c r="A595" t="s">
        <v>627</v>
      </c>
      <c r="B595">
        <v>24</v>
      </c>
      <c r="C595" t="s">
        <v>21</v>
      </c>
      <c r="D595" t="s">
        <v>27</v>
      </c>
      <c r="E595" s="2">
        <v>45799</v>
      </c>
      <c r="F595" t="s">
        <v>29</v>
      </c>
      <c r="G595">
        <v>100</v>
      </c>
      <c r="H595">
        <v>1</v>
      </c>
      <c r="I595">
        <v>9.86</v>
      </c>
      <c r="J595">
        <v>9.0299999999999994</v>
      </c>
      <c r="K595" t="s">
        <v>18</v>
      </c>
      <c r="L595">
        <v>8.5</v>
      </c>
      <c r="M595">
        <v>9</v>
      </c>
      <c r="N595" t="s">
        <v>34</v>
      </c>
      <c r="O595">
        <f t="shared" si="18"/>
        <v>118.89</v>
      </c>
      <c r="P595" t="str">
        <f t="shared" si="19"/>
        <v>May</v>
      </c>
    </row>
    <row r="596" spans="1:16" x14ac:dyDescent="0.25">
      <c r="A596" t="s">
        <v>628</v>
      </c>
      <c r="B596">
        <v>21</v>
      </c>
      <c r="C596" t="s">
        <v>15</v>
      </c>
      <c r="D596" t="s">
        <v>33</v>
      </c>
      <c r="E596" s="2">
        <v>45754</v>
      </c>
      <c r="F596" t="s">
        <v>17</v>
      </c>
      <c r="G596">
        <v>200</v>
      </c>
      <c r="H596">
        <v>4</v>
      </c>
      <c r="I596">
        <v>20.79</v>
      </c>
      <c r="J596">
        <v>13.71</v>
      </c>
      <c r="K596" t="s">
        <v>24</v>
      </c>
      <c r="L596">
        <v>7</v>
      </c>
      <c r="M596">
        <v>7</v>
      </c>
      <c r="N596" t="s">
        <v>34</v>
      </c>
      <c r="O596">
        <f t="shared" si="18"/>
        <v>834.5</v>
      </c>
      <c r="P596" t="str">
        <f t="shared" si="19"/>
        <v>April</v>
      </c>
    </row>
    <row r="597" spans="1:16" x14ac:dyDescent="0.25">
      <c r="A597" t="s">
        <v>629</v>
      </c>
      <c r="B597">
        <v>67</v>
      </c>
      <c r="C597" t="s">
        <v>21</v>
      </c>
      <c r="D597" t="s">
        <v>40</v>
      </c>
      <c r="E597" s="2">
        <v>45782</v>
      </c>
      <c r="F597" t="s">
        <v>17</v>
      </c>
      <c r="G597">
        <v>200</v>
      </c>
      <c r="H597">
        <v>4</v>
      </c>
      <c r="I597">
        <v>73.39</v>
      </c>
      <c r="J597">
        <v>16.39</v>
      </c>
      <c r="K597" t="s">
        <v>24</v>
      </c>
      <c r="L597">
        <v>7.3</v>
      </c>
      <c r="M597">
        <v>7</v>
      </c>
      <c r="N597" t="s">
        <v>25</v>
      </c>
      <c r="O597">
        <f t="shared" si="18"/>
        <v>889.78</v>
      </c>
      <c r="P597" t="str">
        <f t="shared" si="19"/>
        <v>May</v>
      </c>
    </row>
    <row r="598" spans="1:16" x14ac:dyDescent="0.25">
      <c r="A598" t="s">
        <v>630</v>
      </c>
      <c r="B598">
        <v>62</v>
      </c>
      <c r="C598" t="s">
        <v>21</v>
      </c>
      <c r="D598" t="s">
        <v>52</v>
      </c>
      <c r="E598" s="2">
        <v>45888</v>
      </c>
      <c r="F598" t="s">
        <v>23</v>
      </c>
      <c r="G598">
        <v>150</v>
      </c>
      <c r="H598">
        <v>3</v>
      </c>
      <c r="I598">
        <v>117.86</v>
      </c>
      <c r="J598">
        <v>16.3</v>
      </c>
      <c r="K598" t="s">
        <v>18</v>
      </c>
      <c r="L598">
        <v>7</v>
      </c>
      <c r="M598">
        <v>10</v>
      </c>
      <c r="N598" t="s">
        <v>25</v>
      </c>
      <c r="O598">
        <f t="shared" si="18"/>
        <v>584.16</v>
      </c>
      <c r="P598" t="str">
        <f t="shared" si="19"/>
        <v>August</v>
      </c>
    </row>
    <row r="599" spans="1:16" x14ac:dyDescent="0.25">
      <c r="A599" t="s">
        <v>631</v>
      </c>
      <c r="B599">
        <v>28</v>
      </c>
      <c r="C599" t="s">
        <v>38</v>
      </c>
      <c r="D599" t="s">
        <v>16</v>
      </c>
      <c r="E599" s="2">
        <v>45709</v>
      </c>
      <c r="F599" t="s">
        <v>23</v>
      </c>
      <c r="G599">
        <v>150</v>
      </c>
      <c r="H599">
        <v>2</v>
      </c>
      <c r="I599">
        <v>6.3</v>
      </c>
      <c r="J599">
        <v>7.12</v>
      </c>
      <c r="K599" t="s">
        <v>18</v>
      </c>
      <c r="L599">
        <v>6.5</v>
      </c>
      <c r="M599">
        <v>9</v>
      </c>
      <c r="N599" t="s">
        <v>34</v>
      </c>
      <c r="O599">
        <f t="shared" si="18"/>
        <v>313.42</v>
      </c>
      <c r="P599" t="str">
        <f t="shared" si="19"/>
        <v>February</v>
      </c>
    </row>
    <row r="600" spans="1:16" x14ac:dyDescent="0.25">
      <c r="A600" t="s">
        <v>632</v>
      </c>
      <c r="B600">
        <v>46</v>
      </c>
      <c r="C600" t="s">
        <v>21</v>
      </c>
      <c r="D600" t="s">
        <v>22</v>
      </c>
      <c r="E600" s="2">
        <v>45860</v>
      </c>
      <c r="F600" t="s">
        <v>29</v>
      </c>
      <c r="G600">
        <v>100</v>
      </c>
      <c r="H600">
        <v>3</v>
      </c>
      <c r="I600">
        <v>91.85</v>
      </c>
      <c r="J600">
        <v>21.9</v>
      </c>
      <c r="K600" t="s">
        <v>18</v>
      </c>
      <c r="L600">
        <v>7.3</v>
      </c>
      <c r="M600">
        <v>7</v>
      </c>
      <c r="N600" t="s">
        <v>19</v>
      </c>
      <c r="O600">
        <f t="shared" si="18"/>
        <v>413.75</v>
      </c>
      <c r="P600" t="str">
        <f t="shared" si="19"/>
        <v>July</v>
      </c>
    </row>
    <row r="601" spans="1:16" x14ac:dyDescent="0.25">
      <c r="A601" t="s">
        <v>633</v>
      </c>
      <c r="B601">
        <v>53</v>
      </c>
      <c r="C601" t="s">
        <v>21</v>
      </c>
      <c r="D601" t="s">
        <v>16</v>
      </c>
      <c r="E601" s="2">
        <v>45691</v>
      </c>
      <c r="F601" t="s">
        <v>41</v>
      </c>
      <c r="G601">
        <v>60</v>
      </c>
      <c r="H601">
        <v>3</v>
      </c>
      <c r="I601">
        <v>43.44</v>
      </c>
      <c r="J601">
        <v>18.28</v>
      </c>
      <c r="K601" t="s">
        <v>24</v>
      </c>
      <c r="L601">
        <v>8.6</v>
      </c>
      <c r="M601">
        <v>5</v>
      </c>
      <c r="N601" t="s">
        <v>19</v>
      </c>
      <c r="O601">
        <f t="shared" si="18"/>
        <v>241.72</v>
      </c>
      <c r="P601" t="str">
        <f t="shared" si="19"/>
        <v>February</v>
      </c>
    </row>
    <row r="602" spans="1:16" x14ac:dyDescent="0.25">
      <c r="A602" t="s">
        <v>634</v>
      </c>
      <c r="B602">
        <v>42</v>
      </c>
      <c r="C602" t="s">
        <v>21</v>
      </c>
      <c r="D602" t="s">
        <v>27</v>
      </c>
      <c r="E602" s="2">
        <v>45849</v>
      </c>
      <c r="F602" t="s">
        <v>29</v>
      </c>
      <c r="G602">
        <v>100</v>
      </c>
      <c r="H602">
        <v>1</v>
      </c>
      <c r="I602">
        <v>13.73</v>
      </c>
      <c r="J602">
        <v>23.93</v>
      </c>
      <c r="K602" t="s">
        <v>24</v>
      </c>
      <c r="L602">
        <v>8.1</v>
      </c>
      <c r="M602">
        <v>7</v>
      </c>
      <c r="N602" t="s">
        <v>19</v>
      </c>
      <c r="O602">
        <f t="shared" si="18"/>
        <v>137.66</v>
      </c>
      <c r="P602" t="str">
        <f t="shared" si="19"/>
        <v>July</v>
      </c>
    </row>
    <row r="603" spans="1:16" x14ac:dyDescent="0.25">
      <c r="A603" t="s">
        <v>635</v>
      </c>
      <c r="B603">
        <v>38</v>
      </c>
      <c r="C603" t="s">
        <v>21</v>
      </c>
      <c r="D603" t="s">
        <v>52</v>
      </c>
      <c r="E603" s="2">
        <v>45706</v>
      </c>
      <c r="F603" t="s">
        <v>41</v>
      </c>
      <c r="G603">
        <v>60</v>
      </c>
      <c r="H603">
        <v>1</v>
      </c>
      <c r="I603">
        <v>35.26</v>
      </c>
      <c r="J603">
        <v>2.89</v>
      </c>
      <c r="K603" t="s">
        <v>24</v>
      </c>
      <c r="L603">
        <v>7.3</v>
      </c>
      <c r="M603">
        <v>9</v>
      </c>
      <c r="N603" t="s">
        <v>30</v>
      </c>
      <c r="O603">
        <f t="shared" si="18"/>
        <v>98.149999999999991</v>
      </c>
      <c r="P603" t="str">
        <f t="shared" si="19"/>
        <v>February</v>
      </c>
    </row>
    <row r="604" spans="1:16" x14ac:dyDescent="0.25">
      <c r="A604" t="s">
        <v>636</v>
      </c>
      <c r="B604">
        <v>53</v>
      </c>
      <c r="C604" t="s">
        <v>15</v>
      </c>
      <c r="D604" t="s">
        <v>22</v>
      </c>
      <c r="E604" s="2">
        <v>45890</v>
      </c>
      <c r="F604" t="s">
        <v>41</v>
      </c>
      <c r="G604">
        <v>60</v>
      </c>
      <c r="H604">
        <v>1</v>
      </c>
      <c r="I604">
        <v>70.56</v>
      </c>
      <c r="J604">
        <v>18.77</v>
      </c>
      <c r="K604" t="s">
        <v>24</v>
      </c>
      <c r="L604">
        <v>10</v>
      </c>
      <c r="M604">
        <v>7</v>
      </c>
      <c r="N604" t="s">
        <v>19</v>
      </c>
      <c r="O604">
        <f t="shared" si="18"/>
        <v>149.33000000000001</v>
      </c>
      <c r="P604" t="str">
        <f t="shared" si="19"/>
        <v>August</v>
      </c>
    </row>
    <row r="605" spans="1:16" x14ac:dyDescent="0.25">
      <c r="A605" t="s">
        <v>637</v>
      </c>
      <c r="B605">
        <v>27</v>
      </c>
      <c r="C605" t="s">
        <v>21</v>
      </c>
      <c r="D605" t="s">
        <v>16</v>
      </c>
      <c r="E605" s="2">
        <v>45885</v>
      </c>
      <c r="F605" t="s">
        <v>41</v>
      </c>
      <c r="G605">
        <v>60</v>
      </c>
      <c r="H605">
        <v>2</v>
      </c>
      <c r="I605">
        <v>51.02</v>
      </c>
      <c r="J605">
        <v>1.93</v>
      </c>
      <c r="K605" t="s">
        <v>18</v>
      </c>
      <c r="L605">
        <v>5</v>
      </c>
      <c r="M605">
        <v>9</v>
      </c>
      <c r="N605" t="s">
        <v>34</v>
      </c>
      <c r="O605">
        <f t="shared" si="18"/>
        <v>172.95000000000002</v>
      </c>
      <c r="P605" t="str">
        <f t="shared" si="19"/>
        <v>August</v>
      </c>
    </row>
    <row r="606" spans="1:16" x14ac:dyDescent="0.25">
      <c r="A606" t="s">
        <v>638</v>
      </c>
      <c r="B606">
        <v>54</v>
      </c>
      <c r="C606" t="s">
        <v>21</v>
      </c>
      <c r="D606" t="s">
        <v>40</v>
      </c>
      <c r="E606" s="2">
        <v>45844</v>
      </c>
      <c r="F606" t="s">
        <v>29</v>
      </c>
      <c r="G606">
        <v>100</v>
      </c>
      <c r="H606">
        <v>1</v>
      </c>
      <c r="I606">
        <v>8.41</v>
      </c>
      <c r="J606">
        <v>14.5</v>
      </c>
      <c r="K606" t="s">
        <v>24</v>
      </c>
      <c r="L606">
        <v>8.5</v>
      </c>
      <c r="M606">
        <v>10</v>
      </c>
      <c r="N606" t="s">
        <v>19</v>
      </c>
      <c r="O606">
        <f t="shared" si="18"/>
        <v>122.91</v>
      </c>
      <c r="P606" t="str">
        <f t="shared" si="19"/>
        <v>July</v>
      </c>
    </row>
    <row r="607" spans="1:16" x14ac:dyDescent="0.25">
      <c r="A607" t="s">
        <v>639</v>
      </c>
      <c r="B607">
        <v>26</v>
      </c>
      <c r="C607" t="s">
        <v>21</v>
      </c>
      <c r="D607" t="s">
        <v>33</v>
      </c>
      <c r="E607" s="2">
        <v>45804</v>
      </c>
      <c r="F607" t="s">
        <v>29</v>
      </c>
      <c r="G607">
        <v>100</v>
      </c>
      <c r="H607">
        <v>1</v>
      </c>
      <c r="I607">
        <v>47.82</v>
      </c>
      <c r="J607">
        <v>21.37</v>
      </c>
      <c r="K607" t="s">
        <v>18</v>
      </c>
      <c r="L607">
        <v>7.8</v>
      </c>
      <c r="M607">
        <v>8</v>
      </c>
      <c r="N607" t="s">
        <v>34</v>
      </c>
      <c r="O607">
        <f t="shared" si="18"/>
        <v>169.19</v>
      </c>
      <c r="P607" t="str">
        <f t="shared" si="19"/>
        <v>May</v>
      </c>
    </row>
    <row r="608" spans="1:16" x14ac:dyDescent="0.25">
      <c r="A608" t="s">
        <v>640</v>
      </c>
      <c r="B608">
        <v>41</v>
      </c>
      <c r="C608" t="s">
        <v>15</v>
      </c>
      <c r="D608" t="s">
        <v>27</v>
      </c>
      <c r="E608" s="2">
        <v>45854</v>
      </c>
      <c r="F608" t="s">
        <v>29</v>
      </c>
      <c r="G608">
        <v>100</v>
      </c>
      <c r="H608">
        <v>2</v>
      </c>
      <c r="I608">
        <v>84.14</v>
      </c>
      <c r="J608">
        <v>26.99</v>
      </c>
      <c r="K608" t="s">
        <v>18</v>
      </c>
      <c r="L608">
        <v>6.5</v>
      </c>
      <c r="M608">
        <v>8</v>
      </c>
      <c r="N608" t="s">
        <v>19</v>
      </c>
      <c r="O608">
        <f t="shared" si="18"/>
        <v>311.13</v>
      </c>
      <c r="P608" t="str">
        <f t="shared" si="19"/>
        <v>July</v>
      </c>
    </row>
    <row r="609" spans="1:16" x14ac:dyDescent="0.25">
      <c r="A609" t="s">
        <v>641</v>
      </c>
      <c r="B609">
        <v>52</v>
      </c>
      <c r="C609" t="s">
        <v>15</v>
      </c>
      <c r="D609" t="s">
        <v>52</v>
      </c>
      <c r="E609" s="2">
        <v>45759</v>
      </c>
      <c r="F609" t="s">
        <v>17</v>
      </c>
      <c r="G609">
        <v>200</v>
      </c>
      <c r="H609">
        <v>2</v>
      </c>
      <c r="I609">
        <v>75.09</v>
      </c>
      <c r="J609">
        <v>13.1</v>
      </c>
      <c r="K609" t="s">
        <v>24</v>
      </c>
      <c r="L609">
        <v>8.5</v>
      </c>
      <c r="M609">
        <v>9</v>
      </c>
      <c r="N609" t="s">
        <v>19</v>
      </c>
      <c r="O609">
        <f t="shared" si="18"/>
        <v>488.19000000000005</v>
      </c>
      <c r="P609" t="str">
        <f t="shared" si="19"/>
        <v>April</v>
      </c>
    </row>
    <row r="610" spans="1:16" x14ac:dyDescent="0.25">
      <c r="A610" t="s">
        <v>642</v>
      </c>
      <c r="B610">
        <v>66</v>
      </c>
      <c r="C610" t="s">
        <v>21</v>
      </c>
      <c r="D610" t="s">
        <v>27</v>
      </c>
      <c r="E610" s="2">
        <v>45827</v>
      </c>
      <c r="F610" t="s">
        <v>23</v>
      </c>
      <c r="G610">
        <v>150</v>
      </c>
      <c r="H610">
        <v>4</v>
      </c>
      <c r="I610">
        <v>36.43</v>
      </c>
      <c r="J610">
        <v>10.92</v>
      </c>
      <c r="K610" t="s">
        <v>18</v>
      </c>
      <c r="L610">
        <v>7.7</v>
      </c>
      <c r="M610">
        <v>6</v>
      </c>
      <c r="N610" t="s">
        <v>25</v>
      </c>
      <c r="O610">
        <f t="shared" si="18"/>
        <v>647.34999999999991</v>
      </c>
      <c r="P610" t="str">
        <f t="shared" si="19"/>
        <v>June</v>
      </c>
    </row>
    <row r="611" spans="1:16" x14ac:dyDescent="0.25">
      <c r="A611" t="s">
        <v>643</v>
      </c>
      <c r="B611">
        <v>52</v>
      </c>
      <c r="C611" t="s">
        <v>15</v>
      </c>
      <c r="D611" t="s">
        <v>40</v>
      </c>
      <c r="E611" s="2">
        <v>45768</v>
      </c>
      <c r="F611" t="s">
        <v>41</v>
      </c>
      <c r="G611">
        <v>60</v>
      </c>
      <c r="H611">
        <v>1</v>
      </c>
      <c r="I611">
        <v>49.42</v>
      </c>
      <c r="J611">
        <v>5.65</v>
      </c>
      <c r="K611" t="s">
        <v>18</v>
      </c>
      <c r="L611">
        <v>9.9</v>
      </c>
      <c r="M611">
        <v>7</v>
      </c>
      <c r="N611" t="s">
        <v>19</v>
      </c>
      <c r="O611">
        <f t="shared" si="18"/>
        <v>115.07000000000001</v>
      </c>
      <c r="P611" t="str">
        <f t="shared" si="19"/>
        <v>April</v>
      </c>
    </row>
    <row r="612" spans="1:16" x14ac:dyDescent="0.25">
      <c r="A612" t="s">
        <v>644</v>
      </c>
      <c r="B612">
        <v>65</v>
      </c>
      <c r="C612" t="s">
        <v>21</v>
      </c>
      <c r="D612" t="s">
        <v>52</v>
      </c>
      <c r="E612" s="2">
        <v>45839</v>
      </c>
      <c r="F612" t="s">
        <v>41</v>
      </c>
      <c r="G612">
        <v>60</v>
      </c>
      <c r="H612">
        <v>1</v>
      </c>
      <c r="I612">
        <v>38.119999999999997</v>
      </c>
      <c r="J612">
        <v>2.8</v>
      </c>
      <c r="K612" t="s">
        <v>18</v>
      </c>
      <c r="L612">
        <v>9.3000000000000007</v>
      </c>
      <c r="M612">
        <v>9</v>
      </c>
      <c r="N612" t="s">
        <v>25</v>
      </c>
      <c r="O612">
        <f t="shared" si="18"/>
        <v>100.92</v>
      </c>
      <c r="P612" t="str">
        <f t="shared" si="19"/>
        <v>July</v>
      </c>
    </row>
    <row r="613" spans="1:16" x14ac:dyDescent="0.25">
      <c r="A613" t="s">
        <v>645</v>
      </c>
      <c r="B613">
        <v>53</v>
      </c>
      <c r="C613" t="s">
        <v>15</v>
      </c>
      <c r="D613" t="s">
        <v>27</v>
      </c>
      <c r="E613" s="2">
        <v>45728</v>
      </c>
      <c r="F613" t="s">
        <v>23</v>
      </c>
      <c r="G613">
        <v>150</v>
      </c>
      <c r="H613">
        <v>1</v>
      </c>
      <c r="I613">
        <v>71.930000000000007</v>
      </c>
      <c r="J613">
        <v>17.3</v>
      </c>
      <c r="K613" t="s">
        <v>18</v>
      </c>
      <c r="L613">
        <v>10</v>
      </c>
      <c r="M613">
        <v>8</v>
      </c>
      <c r="N613" t="s">
        <v>19</v>
      </c>
      <c r="O613">
        <f t="shared" si="18"/>
        <v>239.23000000000002</v>
      </c>
      <c r="P613" t="str">
        <f t="shared" si="19"/>
        <v>March</v>
      </c>
    </row>
    <row r="614" spans="1:16" x14ac:dyDescent="0.25">
      <c r="A614" t="s">
        <v>646</v>
      </c>
      <c r="B614">
        <v>35</v>
      </c>
      <c r="C614" t="s">
        <v>15</v>
      </c>
      <c r="D614" t="s">
        <v>36</v>
      </c>
      <c r="E614" s="2">
        <v>45747</v>
      </c>
      <c r="F614" t="s">
        <v>29</v>
      </c>
      <c r="G614">
        <v>100</v>
      </c>
      <c r="H614">
        <v>4</v>
      </c>
      <c r="I614">
        <v>75.150000000000006</v>
      </c>
      <c r="J614">
        <v>1.29</v>
      </c>
      <c r="K614" t="s">
        <v>24</v>
      </c>
      <c r="L614">
        <v>7.3</v>
      </c>
      <c r="M614">
        <v>8</v>
      </c>
      <c r="N614" t="s">
        <v>30</v>
      </c>
      <c r="O614">
        <f t="shared" si="18"/>
        <v>476.44</v>
      </c>
      <c r="P614" t="str">
        <f t="shared" si="19"/>
        <v>March</v>
      </c>
    </row>
    <row r="615" spans="1:16" x14ac:dyDescent="0.25">
      <c r="A615" t="s">
        <v>647</v>
      </c>
      <c r="B615">
        <v>66</v>
      </c>
      <c r="C615" t="s">
        <v>38</v>
      </c>
      <c r="D615" t="s">
        <v>40</v>
      </c>
      <c r="E615" s="2">
        <v>45903</v>
      </c>
      <c r="F615" t="s">
        <v>41</v>
      </c>
      <c r="G615">
        <v>60</v>
      </c>
      <c r="H615">
        <v>1</v>
      </c>
      <c r="I615">
        <v>4.2</v>
      </c>
      <c r="J615">
        <v>16.98</v>
      </c>
      <c r="K615" t="s">
        <v>18</v>
      </c>
      <c r="L615">
        <v>10</v>
      </c>
      <c r="M615">
        <v>8</v>
      </c>
      <c r="N615" t="s">
        <v>25</v>
      </c>
      <c r="O615">
        <f t="shared" si="18"/>
        <v>81.180000000000007</v>
      </c>
      <c r="P615" t="str">
        <f t="shared" si="19"/>
        <v>September</v>
      </c>
    </row>
    <row r="616" spans="1:16" x14ac:dyDescent="0.25">
      <c r="A616" t="s">
        <v>648</v>
      </c>
      <c r="B616">
        <v>56</v>
      </c>
      <c r="C616" t="s">
        <v>21</v>
      </c>
      <c r="D616" t="s">
        <v>40</v>
      </c>
      <c r="E616" s="2">
        <v>45676</v>
      </c>
      <c r="F616" t="s">
        <v>17</v>
      </c>
      <c r="G616">
        <v>200</v>
      </c>
      <c r="H616">
        <v>4</v>
      </c>
      <c r="I616">
        <v>84.57</v>
      </c>
      <c r="J616">
        <v>6.71</v>
      </c>
      <c r="K616" t="s">
        <v>18</v>
      </c>
      <c r="L616">
        <v>6.3</v>
      </c>
      <c r="M616">
        <v>10</v>
      </c>
      <c r="N616" t="s">
        <v>19</v>
      </c>
      <c r="O616">
        <f t="shared" si="18"/>
        <v>891.28</v>
      </c>
      <c r="P616" t="str">
        <f t="shared" si="19"/>
        <v>January</v>
      </c>
    </row>
    <row r="617" spans="1:16" x14ac:dyDescent="0.25">
      <c r="A617" t="s">
        <v>649</v>
      </c>
      <c r="B617">
        <v>49</v>
      </c>
      <c r="C617" t="s">
        <v>15</v>
      </c>
      <c r="D617" t="s">
        <v>40</v>
      </c>
      <c r="E617" s="2">
        <v>45901</v>
      </c>
      <c r="F617" t="s">
        <v>23</v>
      </c>
      <c r="G617">
        <v>150</v>
      </c>
      <c r="H617">
        <v>3</v>
      </c>
      <c r="I617">
        <v>68.62</v>
      </c>
      <c r="J617">
        <v>2.4300000000000002</v>
      </c>
      <c r="K617" t="s">
        <v>18</v>
      </c>
      <c r="L617">
        <v>7.8</v>
      </c>
      <c r="M617">
        <v>9</v>
      </c>
      <c r="N617" t="s">
        <v>19</v>
      </c>
      <c r="O617">
        <f t="shared" si="18"/>
        <v>521.04999999999995</v>
      </c>
      <c r="P617" t="str">
        <f t="shared" si="19"/>
        <v>September</v>
      </c>
    </row>
    <row r="618" spans="1:16" x14ac:dyDescent="0.25">
      <c r="A618" t="s">
        <v>650</v>
      </c>
      <c r="B618">
        <v>41</v>
      </c>
      <c r="C618" t="s">
        <v>15</v>
      </c>
      <c r="D618" t="s">
        <v>36</v>
      </c>
      <c r="E618" s="2">
        <v>45872</v>
      </c>
      <c r="F618" t="s">
        <v>41</v>
      </c>
      <c r="G618">
        <v>60</v>
      </c>
      <c r="H618">
        <v>4</v>
      </c>
      <c r="I618">
        <v>29.21</v>
      </c>
      <c r="J618">
        <v>9.4499999999999993</v>
      </c>
      <c r="K618" t="s">
        <v>18</v>
      </c>
      <c r="L618">
        <v>7.3</v>
      </c>
      <c r="M618">
        <v>9</v>
      </c>
      <c r="N618" t="s">
        <v>19</v>
      </c>
      <c r="O618">
        <f t="shared" si="18"/>
        <v>278.65999999999997</v>
      </c>
      <c r="P618" t="str">
        <f t="shared" si="19"/>
        <v>August</v>
      </c>
    </row>
    <row r="619" spans="1:16" x14ac:dyDescent="0.25">
      <c r="A619" t="s">
        <v>651</v>
      </c>
      <c r="B619">
        <v>40</v>
      </c>
      <c r="C619" t="s">
        <v>15</v>
      </c>
      <c r="D619" t="s">
        <v>36</v>
      </c>
      <c r="E619" s="2">
        <v>45760</v>
      </c>
      <c r="F619" t="s">
        <v>29</v>
      </c>
      <c r="G619">
        <v>100</v>
      </c>
      <c r="H619">
        <v>3</v>
      </c>
      <c r="I619">
        <v>101.46</v>
      </c>
      <c r="J619">
        <v>9.33</v>
      </c>
      <c r="K619" t="s">
        <v>18</v>
      </c>
      <c r="L619">
        <v>8.9</v>
      </c>
      <c r="M619">
        <v>10</v>
      </c>
      <c r="N619" t="s">
        <v>19</v>
      </c>
      <c r="O619">
        <f t="shared" si="18"/>
        <v>410.78999999999996</v>
      </c>
      <c r="P619" t="str">
        <f t="shared" si="19"/>
        <v>April</v>
      </c>
    </row>
    <row r="620" spans="1:16" x14ac:dyDescent="0.25">
      <c r="A620" t="s">
        <v>652</v>
      </c>
      <c r="B620">
        <v>49</v>
      </c>
      <c r="C620" t="s">
        <v>21</v>
      </c>
      <c r="D620" t="s">
        <v>16</v>
      </c>
      <c r="E620" s="2">
        <v>45681</v>
      </c>
      <c r="F620" t="s">
        <v>17</v>
      </c>
      <c r="G620">
        <v>200</v>
      </c>
      <c r="H620">
        <v>1</v>
      </c>
      <c r="I620">
        <v>38.159999999999997</v>
      </c>
      <c r="J620">
        <v>5.5</v>
      </c>
      <c r="K620" t="s">
        <v>18</v>
      </c>
      <c r="L620">
        <v>8.9</v>
      </c>
      <c r="M620">
        <v>10</v>
      </c>
      <c r="N620" t="s">
        <v>19</v>
      </c>
      <c r="O620">
        <f t="shared" si="18"/>
        <v>243.66</v>
      </c>
      <c r="P620" t="str">
        <f t="shared" si="19"/>
        <v>January</v>
      </c>
    </row>
    <row r="621" spans="1:16" x14ac:dyDescent="0.25">
      <c r="A621" t="s">
        <v>653</v>
      </c>
      <c r="B621">
        <v>54</v>
      </c>
      <c r="C621" t="s">
        <v>15</v>
      </c>
      <c r="D621" t="s">
        <v>22</v>
      </c>
      <c r="E621" s="2">
        <v>45666</v>
      </c>
      <c r="F621" t="s">
        <v>29</v>
      </c>
      <c r="G621">
        <v>100</v>
      </c>
      <c r="H621">
        <v>3</v>
      </c>
      <c r="I621">
        <v>24.28</v>
      </c>
      <c r="J621">
        <v>13.01</v>
      </c>
      <c r="K621" t="s">
        <v>18</v>
      </c>
      <c r="L621">
        <v>6.6</v>
      </c>
      <c r="M621">
        <v>10</v>
      </c>
      <c r="N621" t="s">
        <v>19</v>
      </c>
      <c r="O621">
        <f t="shared" si="18"/>
        <v>337.28999999999996</v>
      </c>
      <c r="P621" t="str">
        <f t="shared" si="19"/>
        <v>January</v>
      </c>
    </row>
    <row r="622" spans="1:16" x14ac:dyDescent="0.25">
      <c r="A622" t="s">
        <v>654</v>
      </c>
      <c r="B622">
        <v>29</v>
      </c>
      <c r="C622" t="s">
        <v>21</v>
      </c>
      <c r="D622" t="s">
        <v>33</v>
      </c>
      <c r="E622" s="2">
        <v>45851</v>
      </c>
      <c r="F622" t="s">
        <v>41</v>
      </c>
      <c r="G622">
        <v>60</v>
      </c>
      <c r="H622">
        <v>4</v>
      </c>
      <c r="I622">
        <v>29.58</v>
      </c>
      <c r="J622">
        <v>18.28</v>
      </c>
      <c r="K622" t="s">
        <v>24</v>
      </c>
      <c r="L622">
        <v>9</v>
      </c>
      <c r="M622">
        <v>7</v>
      </c>
      <c r="N622" t="s">
        <v>34</v>
      </c>
      <c r="O622">
        <f t="shared" si="18"/>
        <v>287.86</v>
      </c>
      <c r="P622" t="str">
        <f t="shared" si="19"/>
        <v>July</v>
      </c>
    </row>
    <row r="623" spans="1:16" x14ac:dyDescent="0.25">
      <c r="A623" t="s">
        <v>655</v>
      </c>
      <c r="B623">
        <v>66</v>
      </c>
      <c r="C623" t="s">
        <v>38</v>
      </c>
      <c r="D623" t="s">
        <v>27</v>
      </c>
      <c r="E623" s="2">
        <v>45698</v>
      </c>
      <c r="F623" t="s">
        <v>29</v>
      </c>
      <c r="G623">
        <v>100</v>
      </c>
      <c r="H623">
        <v>2</v>
      </c>
      <c r="I623">
        <v>51.89</v>
      </c>
      <c r="J623">
        <v>7.78</v>
      </c>
      <c r="K623" t="s">
        <v>24</v>
      </c>
      <c r="L623">
        <v>7.4</v>
      </c>
      <c r="M623">
        <v>10</v>
      </c>
      <c r="N623" t="s">
        <v>25</v>
      </c>
      <c r="O623">
        <f t="shared" si="18"/>
        <v>259.66999999999996</v>
      </c>
      <c r="P623" t="str">
        <f t="shared" si="19"/>
        <v>February</v>
      </c>
    </row>
    <row r="624" spans="1:16" x14ac:dyDescent="0.25">
      <c r="A624" t="s">
        <v>656</v>
      </c>
      <c r="B624">
        <v>30</v>
      </c>
      <c r="C624" t="s">
        <v>15</v>
      </c>
      <c r="D624" t="s">
        <v>16</v>
      </c>
      <c r="E624" s="2">
        <v>45784</v>
      </c>
      <c r="F624" t="s">
        <v>23</v>
      </c>
      <c r="G624">
        <v>150</v>
      </c>
      <c r="H624">
        <v>3</v>
      </c>
      <c r="I624">
        <v>35.14</v>
      </c>
      <c r="J624">
        <v>8.69</v>
      </c>
      <c r="K624" t="s">
        <v>18</v>
      </c>
      <c r="L624">
        <v>6.8</v>
      </c>
      <c r="M624">
        <v>6</v>
      </c>
      <c r="N624" t="s">
        <v>30</v>
      </c>
      <c r="O624">
        <f t="shared" si="18"/>
        <v>493.83</v>
      </c>
      <c r="P624" t="str">
        <f t="shared" si="19"/>
        <v>May</v>
      </c>
    </row>
    <row r="625" spans="1:16" x14ac:dyDescent="0.25">
      <c r="A625" t="s">
        <v>657</v>
      </c>
      <c r="B625">
        <v>40</v>
      </c>
      <c r="C625" t="s">
        <v>21</v>
      </c>
      <c r="D625" t="s">
        <v>27</v>
      </c>
      <c r="E625" s="2">
        <v>45831</v>
      </c>
      <c r="F625" t="s">
        <v>23</v>
      </c>
      <c r="G625">
        <v>150</v>
      </c>
      <c r="H625">
        <v>3</v>
      </c>
      <c r="I625">
        <v>28.88</v>
      </c>
      <c r="J625">
        <v>12.67</v>
      </c>
      <c r="K625" t="s">
        <v>18</v>
      </c>
      <c r="L625">
        <v>8</v>
      </c>
      <c r="M625">
        <v>10</v>
      </c>
      <c r="N625" t="s">
        <v>19</v>
      </c>
      <c r="O625">
        <f t="shared" si="18"/>
        <v>491.55</v>
      </c>
      <c r="P625" t="str">
        <f t="shared" si="19"/>
        <v>June</v>
      </c>
    </row>
    <row r="626" spans="1:16" x14ac:dyDescent="0.25">
      <c r="A626" t="s">
        <v>658</v>
      </c>
      <c r="B626">
        <v>42</v>
      </c>
      <c r="C626" t="s">
        <v>38</v>
      </c>
      <c r="D626" t="s">
        <v>33</v>
      </c>
      <c r="E626" s="2">
        <v>45823</v>
      </c>
      <c r="F626" t="s">
        <v>29</v>
      </c>
      <c r="G626">
        <v>100</v>
      </c>
      <c r="H626">
        <v>1</v>
      </c>
      <c r="I626">
        <v>25.02</v>
      </c>
      <c r="J626">
        <v>20.010000000000002</v>
      </c>
      <c r="K626" t="s">
        <v>18</v>
      </c>
      <c r="L626">
        <v>5.8</v>
      </c>
      <c r="M626">
        <v>7</v>
      </c>
      <c r="N626" t="s">
        <v>19</v>
      </c>
      <c r="O626">
        <f t="shared" si="18"/>
        <v>145.03</v>
      </c>
      <c r="P626" t="str">
        <f t="shared" si="19"/>
        <v>June</v>
      </c>
    </row>
    <row r="627" spans="1:16" x14ac:dyDescent="0.25">
      <c r="A627" t="s">
        <v>659</v>
      </c>
      <c r="B627">
        <v>52</v>
      </c>
      <c r="C627" t="s">
        <v>15</v>
      </c>
      <c r="D627" t="s">
        <v>22</v>
      </c>
      <c r="E627" s="2">
        <v>45838</v>
      </c>
      <c r="F627" t="s">
        <v>29</v>
      </c>
      <c r="G627">
        <v>100</v>
      </c>
      <c r="H627">
        <v>4</v>
      </c>
      <c r="I627">
        <v>77.459999999999994</v>
      </c>
      <c r="J627">
        <v>25.44</v>
      </c>
      <c r="K627" t="s">
        <v>24</v>
      </c>
      <c r="L627">
        <v>9.4</v>
      </c>
      <c r="M627">
        <v>8</v>
      </c>
      <c r="N627" t="s">
        <v>19</v>
      </c>
      <c r="O627">
        <f t="shared" si="18"/>
        <v>502.9</v>
      </c>
      <c r="P627" t="str">
        <f t="shared" si="19"/>
        <v>June</v>
      </c>
    </row>
    <row r="628" spans="1:16" x14ac:dyDescent="0.25">
      <c r="A628" t="s">
        <v>660</v>
      </c>
      <c r="B628">
        <v>58</v>
      </c>
      <c r="C628" t="s">
        <v>21</v>
      </c>
      <c r="D628" t="s">
        <v>36</v>
      </c>
      <c r="E628" s="2">
        <v>45799</v>
      </c>
      <c r="F628" t="s">
        <v>41</v>
      </c>
      <c r="G628">
        <v>60</v>
      </c>
      <c r="H628">
        <v>3</v>
      </c>
      <c r="I628">
        <v>73.180000000000007</v>
      </c>
      <c r="J628">
        <v>46.159499999999987</v>
      </c>
      <c r="K628" t="s">
        <v>18</v>
      </c>
      <c r="L628">
        <v>7.9</v>
      </c>
      <c r="M628">
        <v>8</v>
      </c>
      <c r="N628" t="s">
        <v>19</v>
      </c>
      <c r="O628">
        <f t="shared" si="18"/>
        <v>299.33949999999999</v>
      </c>
      <c r="P628" t="str">
        <f t="shared" si="19"/>
        <v>May</v>
      </c>
    </row>
    <row r="629" spans="1:16" x14ac:dyDescent="0.25">
      <c r="A629" t="s">
        <v>661</v>
      </c>
      <c r="B629">
        <v>47</v>
      </c>
      <c r="C629" t="s">
        <v>21</v>
      </c>
      <c r="D629" t="s">
        <v>22</v>
      </c>
      <c r="E629" s="2">
        <v>45690</v>
      </c>
      <c r="F629" t="s">
        <v>17</v>
      </c>
      <c r="G629">
        <v>200</v>
      </c>
      <c r="H629">
        <v>3</v>
      </c>
      <c r="I629">
        <v>6.01</v>
      </c>
      <c r="J629">
        <v>0.51</v>
      </c>
      <c r="K629" t="s">
        <v>24</v>
      </c>
      <c r="L629">
        <v>7.9</v>
      </c>
      <c r="M629">
        <v>7</v>
      </c>
      <c r="N629" t="s">
        <v>19</v>
      </c>
      <c r="O629">
        <f t="shared" si="18"/>
        <v>606.52</v>
      </c>
      <c r="P629" t="str">
        <f t="shared" si="19"/>
        <v>February</v>
      </c>
    </row>
    <row r="630" spans="1:16" x14ac:dyDescent="0.25">
      <c r="A630" t="s">
        <v>662</v>
      </c>
      <c r="B630">
        <v>34</v>
      </c>
      <c r="C630" t="s">
        <v>38</v>
      </c>
      <c r="D630" t="s">
        <v>36</v>
      </c>
      <c r="E630" s="2">
        <v>45868</v>
      </c>
      <c r="F630" t="s">
        <v>41</v>
      </c>
      <c r="G630">
        <v>60</v>
      </c>
      <c r="H630">
        <v>3</v>
      </c>
      <c r="I630">
        <v>31.17</v>
      </c>
      <c r="J630">
        <v>12.17</v>
      </c>
      <c r="K630" t="s">
        <v>24</v>
      </c>
      <c r="L630">
        <v>7.9</v>
      </c>
      <c r="M630">
        <v>8</v>
      </c>
      <c r="N630" t="s">
        <v>30</v>
      </c>
      <c r="O630">
        <f t="shared" si="18"/>
        <v>223.34</v>
      </c>
      <c r="P630" t="str">
        <f t="shared" si="19"/>
        <v>July</v>
      </c>
    </row>
    <row r="631" spans="1:16" x14ac:dyDescent="0.25">
      <c r="A631" t="s">
        <v>663</v>
      </c>
      <c r="B631">
        <v>66</v>
      </c>
      <c r="C631" t="s">
        <v>21</v>
      </c>
      <c r="D631" t="s">
        <v>33</v>
      </c>
      <c r="E631" s="2">
        <v>45702</v>
      </c>
      <c r="F631" t="s">
        <v>17</v>
      </c>
      <c r="G631">
        <v>200</v>
      </c>
      <c r="H631">
        <v>3</v>
      </c>
      <c r="I631">
        <v>83.02</v>
      </c>
      <c r="J631">
        <v>30.82</v>
      </c>
      <c r="K631" t="s">
        <v>24</v>
      </c>
      <c r="L631">
        <v>10</v>
      </c>
      <c r="M631">
        <v>7</v>
      </c>
      <c r="N631" t="s">
        <v>25</v>
      </c>
      <c r="O631">
        <f t="shared" si="18"/>
        <v>713.84</v>
      </c>
      <c r="P631" t="str">
        <f t="shared" si="19"/>
        <v>February</v>
      </c>
    </row>
    <row r="632" spans="1:16" x14ac:dyDescent="0.25">
      <c r="A632" t="s">
        <v>664</v>
      </c>
      <c r="B632">
        <v>37</v>
      </c>
      <c r="C632" t="s">
        <v>21</v>
      </c>
      <c r="D632" t="s">
        <v>22</v>
      </c>
      <c r="E632" s="2">
        <v>45894</v>
      </c>
      <c r="F632" t="s">
        <v>23</v>
      </c>
      <c r="G632">
        <v>150</v>
      </c>
      <c r="H632">
        <v>2</v>
      </c>
      <c r="I632">
        <v>47</v>
      </c>
      <c r="J632">
        <v>37.409999999999997</v>
      </c>
      <c r="K632" t="s">
        <v>24</v>
      </c>
      <c r="L632">
        <v>10</v>
      </c>
      <c r="M632">
        <v>6</v>
      </c>
      <c r="N632" t="s">
        <v>30</v>
      </c>
      <c r="O632">
        <f t="shared" si="18"/>
        <v>384.40999999999997</v>
      </c>
      <c r="P632" t="str">
        <f t="shared" si="19"/>
        <v>August</v>
      </c>
    </row>
    <row r="633" spans="1:16" x14ac:dyDescent="0.25">
      <c r="A633" t="s">
        <v>665</v>
      </c>
      <c r="B633">
        <v>65</v>
      </c>
      <c r="C633" t="s">
        <v>21</v>
      </c>
      <c r="D633" t="s">
        <v>16</v>
      </c>
      <c r="E633" s="2">
        <v>45674</v>
      </c>
      <c r="F633" t="s">
        <v>17</v>
      </c>
      <c r="G633">
        <v>200</v>
      </c>
      <c r="H633">
        <v>4</v>
      </c>
      <c r="I633">
        <v>86.98</v>
      </c>
      <c r="J633">
        <v>38.450000000000003</v>
      </c>
      <c r="K633" t="s">
        <v>18</v>
      </c>
      <c r="L633">
        <v>10</v>
      </c>
      <c r="M633">
        <v>8</v>
      </c>
      <c r="N633" t="s">
        <v>25</v>
      </c>
      <c r="O633">
        <f t="shared" si="18"/>
        <v>925.43000000000006</v>
      </c>
      <c r="P633" t="str">
        <f t="shared" si="19"/>
        <v>January</v>
      </c>
    </row>
    <row r="634" spans="1:16" x14ac:dyDescent="0.25">
      <c r="A634" t="s">
        <v>666</v>
      </c>
      <c r="B634">
        <v>42</v>
      </c>
      <c r="C634" t="s">
        <v>21</v>
      </c>
      <c r="D634" t="s">
        <v>52</v>
      </c>
      <c r="E634" s="2">
        <v>45760</v>
      </c>
      <c r="F634" t="s">
        <v>23</v>
      </c>
      <c r="G634">
        <v>150</v>
      </c>
      <c r="H634">
        <v>1</v>
      </c>
      <c r="I634">
        <v>106.89</v>
      </c>
      <c r="J634">
        <v>42.03</v>
      </c>
      <c r="K634" t="s">
        <v>18</v>
      </c>
      <c r="L634">
        <v>7.9</v>
      </c>
      <c r="M634">
        <v>10</v>
      </c>
      <c r="N634" t="s">
        <v>19</v>
      </c>
      <c r="O634">
        <f t="shared" si="18"/>
        <v>298.91999999999996</v>
      </c>
      <c r="P634" t="str">
        <f t="shared" si="19"/>
        <v>April</v>
      </c>
    </row>
    <row r="635" spans="1:16" x14ac:dyDescent="0.25">
      <c r="A635" t="s">
        <v>667</v>
      </c>
      <c r="B635">
        <v>39</v>
      </c>
      <c r="C635" t="s">
        <v>21</v>
      </c>
      <c r="D635" t="s">
        <v>16</v>
      </c>
      <c r="E635" s="2">
        <v>45879</v>
      </c>
      <c r="F635" t="s">
        <v>29</v>
      </c>
      <c r="G635">
        <v>100</v>
      </c>
      <c r="H635">
        <v>1</v>
      </c>
      <c r="I635">
        <v>106.21</v>
      </c>
      <c r="J635">
        <v>46.159499999999987</v>
      </c>
      <c r="K635" t="s">
        <v>24</v>
      </c>
      <c r="L635">
        <v>6.3</v>
      </c>
      <c r="M635">
        <v>8</v>
      </c>
      <c r="N635" t="s">
        <v>30</v>
      </c>
      <c r="O635">
        <f t="shared" si="18"/>
        <v>252.36949999999996</v>
      </c>
      <c r="P635" t="str">
        <f t="shared" si="19"/>
        <v>August</v>
      </c>
    </row>
    <row r="636" spans="1:16" x14ac:dyDescent="0.25">
      <c r="A636" t="s">
        <v>668</v>
      </c>
      <c r="B636">
        <v>30</v>
      </c>
      <c r="C636" t="s">
        <v>21</v>
      </c>
      <c r="D636" t="s">
        <v>27</v>
      </c>
      <c r="E636" s="2">
        <v>45881</v>
      </c>
      <c r="F636" t="s">
        <v>29</v>
      </c>
      <c r="G636">
        <v>100</v>
      </c>
      <c r="H636">
        <v>2</v>
      </c>
      <c r="I636">
        <v>94.87</v>
      </c>
      <c r="J636">
        <v>17.2</v>
      </c>
      <c r="K636" t="s">
        <v>18</v>
      </c>
      <c r="L636">
        <v>8</v>
      </c>
      <c r="M636">
        <v>9</v>
      </c>
      <c r="N636" t="s">
        <v>30</v>
      </c>
      <c r="O636">
        <f t="shared" si="18"/>
        <v>312.07</v>
      </c>
      <c r="P636" t="str">
        <f t="shared" si="19"/>
        <v>August</v>
      </c>
    </row>
    <row r="637" spans="1:16" x14ac:dyDescent="0.25">
      <c r="A637" t="s">
        <v>669</v>
      </c>
      <c r="B637">
        <v>36</v>
      </c>
      <c r="C637" t="s">
        <v>21</v>
      </c>
      <c r="D637" t="s">
        <v>16</v>
      </c>
      <c r="E637" s="2">
        <v>45742</v>
      </c>
      <c r="F637" t="s">
        <v>23</v>
      </c>
      <c r="G637">
        <v>150</v>
      </c>
      <c r="H637">
        <v>4</v>
      </c>
      <c r="I637">
        <v>40.51</v>
      </c>
      <c r="J637">
        <v>42.31</v>
      </c>
      <c r="K637" t="s">
        <v>18</v>
      </c>
      <c r="L637">
        <v>8.5</v>
      </c>
      <c r="M637">
        <v>7</v>
      </c>
      <c r="N637" t="s">
        <v>30</v>
      </c>
      <c r="O637">
        <f t="shared" si="18"/>
        <v>682.81999999999994</v>
      </c>
      <c r="P637" t="str">
        <f t="shared" si="19"/>
        <v>March</v>
      </c>
    </row>
    <row r="638" spans="1:16" x14ac:dyDescent="0.25">
      <c r="A638" t="s">
        <v>670</v>
      </c>
      <c r="B638">
        <v>66</v>
      </c>
      <c r="C638" t="s">
        <v>15</v>
      </c>
      <c r="D638" t="s">
        <v>33</v>
      </c>
      <c r="E638" s="2">
        <v>45885</v>
      </c>
      <c r="F638" t="s">
        <v>29</v>
      </c>
      <c r="G638">
        <v>100</v>
      </c>
      <c r="H638">
        <v>3</v>
      </c>
      <c r="I638">
        <v>32.99</v>
      </c>
      <c r="J638">
        <v>5.99</v>
      </c>
      <c r="K638" t="s">
        <v>18</v>
      </c>
      <c r="L638">
        <v>9.1999999999999993</v>
      </c>
      <c r="M638">
        <v>6</v>
      </c>
      <c r="N638" t="s">
        <v>25</v>
      </c>
      <c r="O638">
        <f t="shared" si="18"/>
        <v>338.98</v>
      </c>
      <c r="P638" t="str">
        <f t="shared" si="19"/>
        <v>August</v>
      </c>
    </row>
    <row r="639" spans="1:16" x14ac:dyDescent="0.25">
      <c r="A639" t="s">
        <v>671</v>
      </c>
      <c r="B639">
        <v>53</v>
      </c>
      <c r="C639" t="s">
        <v>15</v>
      </c>
      <c r="D639" t="s">
        <v>40</v>
      </c>
      <c r="E639" s="2">
        <v>45768</v>
      </c>
      <c r="F639" t="s">
        <v>17</v>
      </c>
      <c r="G639">
        <v>200</v>
      </c>
      <c r="H639">
        <v>2</v>
      </c>
      <c r="I639">
        <v>44.09</v>
      </c>
      <c r="J639">
        <v>14.52</v>
      </c>
      <c r="K639" t="s">
        <v>18</v>
      </c>
      <c r="L639">
        <v>8.5</v>
      </c>
      <c r="M639">
        <v>9</v>
      </c>
      <c r="N639" t="s">
        <v>19</v>
      </c>
      <c r="O639">
        <f t="shared" si="18"/>
        <v>458.61</v>
      </c>
      <c r="P639" t="str">
        <f t="shared" si="19"/>
        <v>April</v>
      </c>
    </row>
    <row r="640" spans="1:16" x14ac:dyDescent="0.25">
      <c r="A640" t="s">
        <v>672</v>
      </c>
      <c r="B640">
        <v>29</v>
      </c>
      <c r="C640" t="s">
        <v>15</v>
      </c>
      <c r="D640" t="s">
        <v>27</v>
      </c>
      <c r="E640" s="2">
        <v>45876</v>
      </c>
      <c r="F640" t="s">
        <v>41</v>
      </c>
      <c r="G640">
        <v>60</v>
      </c>
      <c r="H640">
        <v>4</v>
      </c>
      <c r="I640">
        <v>35.479999999999997</v>
      </c>
      <c r="J640">
        <v>13.64</v>
      </c>
      <c r="K640" t="s">
        <v>24</v>
      </c>
      <c r="L640">
        <v>6.5</v>
      </c>
      <c r="M640">
        <v>10</v>
      </c>
      <c r="N640" t="s">
        <v>34</v>
      </c>
      <c r="O640">
        <f t="shared" si="18"/>
        <v>289.12</v>
      </c>
      <c r="P640" t="str">
        <f t="shared" si="19"/>
        <v>August</v>
      </c>
    </row>
    <row r="641" spans="1:16" x14ac:dyDescent="0.25">
      <c r="A641" t="s">
        <v>673</v>
      </c>
      <c r="B641">
        <v>58</v>
      </c>
      <c r="C641" t="s">
        <v>15</v>
      </c>
      <c r="D641" t="s">
        <v>22</v>
      </c>
      <c r="E641" s="2">
        <v>45677</v>
      </c>
      <c r="F641" t="s">
        <v>41</v>
      </c>
      <c r="G641">
        <v>60</v>
      </c>
      <c r="H641">
        <v>3</v>
      </c>
      <c r="I641">
        <v>96.72</v>
      </c>
      <c r="J641">
        <v>10.75</v>
      </c>
      <c r="K641" t="s">
        <v>18</v>
      </c>
      <c r="L641">
        <v>7.2</v>
      </c>
      <c r="M641">
        <v>8</v>
      </c>
      <c r="N641" t="s">
        <v>19</v>
      </c>
      <c r="O641">
        <f t="shared" si="18"/>
        <v>287.47000000000003</v>
      </c>
      <c r="P641" t="str">
        <f t="shared" si="19"/>
        <v>January</v>
      </c>
    </row>
    <row r="642" spans="1:16" x14ac:dyDescent="0.25">
      <c r="A642" t="s">
        <v>674</v>
      </c>
      <c r="B642">
        <v>36</v>
      </c>
      <c r="C642" t="s">
        <v>15</v>
      </c>
      <c r="D642" t="s">
        <v>27</v>
      </c>
      <c r="E642" s="2">
        <v>45690</v>
      </c>
      <c r="F642" t="s">
        <v>23</v>
      </c>
      <c r="G642">
        <v>150</v>
      </c>
      <c r="H642">
        <v>2</v>
      </c>
      <c r="I642">
        <v>73.41</v>
      </c>
      <c r="J642">
        <v>6.27</v>
      </c>
      <c r="K642" t="s">
        <v>18</v>
      </c>
      <c r="L642">
        <v>7.1</v>
      </c>
      <c r="M642">
        <v>9</v>
      </c>
      <c r="N642" t="s">
        <v>30</v>
      </c>
      <c r="O642">
        <f t="shared" si="18"/>
        <v>379.67999999999995</v>
      </c>
      <c r="P642" t="str">
        <f t="shared" si="19"/>
        <v>February</v>
      </c>
    </row>
    <row r="643" spans="1:16" x14ac:dyDescent="0.25">
      <c r="A643" t="s">
        <v>675</v>
      </c>
      <c r="B643">
        <v>29</v>
      </c>
      <c r="C643" t="s">
        <v>38</v>
      </c>
      <c r="D643" t="s">
        <v>52</v>
      </c>
      <c r="E643" s="2">
        <v>45699</v>
      </c>
      <c r="F643" t="s">
        <v>29</v>
      </c>
      <c r="G643">
        <v>100</v>
      </c>
      <c r="H643">
        <v>4</v>
      </c>
      <c r="I643">
        <v>52.24</v>
      </c>
      <c r="J643">
        <v>33.94</v>
      </c>
      <c r="K643" t="s">
        <v>24</v>
      </c>
      <c r="L643">
        <v>8.8000000000000007</v>
      </c>
      <c r="M643">
        <v>10</v>
      </c>
      <c r="N643" t="s">
        <v>34</v>
      </c>
      <c r="O643">
        <f t="shared" ref="O643:O706" si="20">(G643*H643)+I643+J643</f>
        <v>486.18</v>
      </c>
      <c r="P643" t="str">
        <f t="shared" ref="P643:P706" si="21">TEXT(E643, "mmmm")</f>
        <v>February</v>
      </c>
    </row>
    <row r="644" spans="1:16" x14ac:dyDescent="0.25">
      <c r="A644" t="s">
        <v>676</v>
      </c>
      <c r="B644">
        <v>26</v>
      </c>
      <c r="C644" t="s">
        <v>15</v>
      </c>
      <c r="D644" t="s">
        <v>36</v>
      </c>
      <c r="E644" s="2">
        <v>45681</v>
      </c>
      <c r="F644" t="s">
        <v>23</v>
      </c>
      <c r="G644">
        <v>150</v>
      </c>
      <c r="H644">
        <v>1</v>
      </c>
      <c r="I644">
        <v>15.33</v>
      </c>
      <c r="J644">
        <v>15.6</v>
      </c>
      <c r="K644" t="s">
        <v>24</v>
      </c>
      <c r="L644">
        <v>8.8000000000000007</v>
      </c>
      <c r="M644">
        <v>8</v>
      </c>
      <c r="N644" t="s">
        <v>34</v>
      </c>
      <c r="O644">
        <f t="shared" si="20"/>
        <v>180.93</v>
      </c>
      <c r="P644" t="str">
        <f t="shared" si="21"/>
        <v>January</v>
      </c>
    </row>
    <row r="645" spans="1:16" x14ac:dyDescent="0.25">
      <c r="A645" t="s">
        <v>677</v>
      </c>
      <c r="B645">
        <v>24</v>
      </c>
      <c r="C645" t="s">
        <v>21</v>
      </c>
      <c r="D645" t="s">
        <v>22</v>
      </c>
      <c r="E645" s="2">
        <v>45681</v>
      </c>
      <c r="F645" t="s">
        <v>17</v>
      </c>
      <c r="G645">
        <v>200</v>
      </c>
      <c r="H645">
        <v>1</v>
      </c>
      <c r="I645">
        <v>72.34</v>
      </c>
      <c r="J645">
        <v>16.38</v>
      </c>
      <c r="K645" t="s">
        <v>18</v>
      </c>
      <c r="L645">
        <v>9</v>
      </c>
      <c r="M645">
        <v>8</v>
      </c>
      <c r="N645" t="s">
        <v>34</v>
      </c>
      <c r="O645">
        <f t="shared" si="20"/>
        <v>288.72000000000003</v>
      </c>
      <c r="P645" t="str">
        <f t="shared" si="21"/>
        <v>January</v>
      </c>
    </row>
    <row r="646" spans="1:16" x14ac:dyDescent="0.25">
      <c r="A646" t="s">
        <v>678</v>
      </c>
      <c r="B646">
        <v>45</v>
      </c>
      <c r="C646" t="s">
        <v>15</v>
      </c>
      <c r="D646" t="s">
        <v>27</v>
      </c>
      <c r="E646" s="2">
        <v>45682</v>
      </c>
      <c r="F646" t="s">
        <v>23</v>
      </c>
      <c r="G646">
        <v>150</v>
      </c>
      <c r="H646">
        <v>4</v>
      </c>
      <c r="I646">
        <v>106.84</v>
      </c>
      <c r="J646">
        <v>6.36</v>
      </c>
      <c r="K646" t="s">
        <v>18</v>
      </c>
      <c r="L646">
        <v>8.5</v>
      </c>
      <c r="M646">
        <v>9</v>
      </c>
      <c r="N646" t="s">
        <v>19</v>
      </c>
      <c r="O646">
        <f t="shared" si="20"/>
        <v>713.2</v>
      </c>
      <c r="P646" t="str">
        <f t="shared" si="21"/>
        <v>January</v>
      </c>
    </row>
    <row r="647" spans="1:16" x14ac:dyDescent="0.25">
      <c r="A647" t="s">
        <v>679</v>
      </c>
      <c r="B647">
        <v>31</v>
      </c>
      <c r="C647" t="s">
        <v>21</v>
      </c>
      <c r="D647" t="s">
        <v>22</v>
      </c>
      <c r="E647" s="2">
        <v>45806</v>
      </c>
      <c r="F647" t="s">
        <v>41</v>
      </c>
      <c r="G647">
        <v>60</v>
      </c>
      <c r="H647">
        <v>1</v>
      </c>
      <c r="I647">
        <v>28.4</v>
      </c>
      <c r="J647">
        <v>22.61</v>
      </c>
      <c r="K647" t="s">
        <v>18</v>
      </c>
      <c r="L647">
        <v>4.9000000000000004</v>
      </c>
      <c r="M647">
        <v>9</v>
      </c>
      <c r="N647" t="s">
        <v>30</v>
      </c>
      <c r="O647">
        <f t="shared" si="20"/>
        <v>111.01</v>
      </c>
      <c r="P647" t="str">
        <f t="shared" si="21"/>
        <v>May</v>
      </c>
    </row>
    <row r="648" spans="1:16" x14ac:dyDescent="0.25">
      <c r="A648" t="s">
        <v>680</v>
      </c>
      <c r="B648">
        <v>48</v>
      </c>
      <c r="C648" t="s">
        <v>38</v>
      </c>
      <c r="D648" t="s">
        <v>22</v>
      </c>
      <c r="E648" s="2">
        <v>45803</v>
      </c>
      <c r="F648" t="s">
        <v>29</v>
      </c>
      <c r="G648">
        <v>100</v>
      </c>
      <c r="H648">
        <v>4</v>
      </c>
      <c r="I648">
        <v>98.99</v>
      </c>
      <c r="J648">
        <v>35.01</v>
      </c>
      <c r="K648" t="s">
        <v>18</v>
      </c>
      <c r="L648">
        <v>5.4</v>
      </c>
      <c r="M648">
        <v>6</v>
      </c>
      <c r="N648" t="s">
        <v>19</v>
      </c>
      <c r="O648">
        <f t="shared" si="20"/>
        <v>534</v>
      </c>
      <c r="P648" t="str">
        <f t="shared" si="21"/>
        <v>May</v>
      </c>
    </row>
    <row r="649" spans="1:16" x14ac:dyDescent="0.25">
      <c r="A649" t="s">
        <v>681</v>
      </c>
      <c r="B649">
        <v>69</v>
      </c>
      <c r="C649" t="s">
        <v>21</v>
      </c>
      <c r="D649" t="s">
        <v>22</v>
      </c>
      <c r="E649" s="2">
        <v>45768</v>
      </c>
      <c r="F649" t="s">
        <v>17</v>
      </c>
      <c r="G649">
        <v>200</v>
      </c>
      <c r="H649">
        <v>3</v>
      </c>
      <c r="I649">
        <v>68.319999999999993</v>
      </c>
      <c r="J649">
        <v>21.08</v>
      </c>
      <c r="K649" t="s">
        <v>18</v>
      </c>
      <c r="L649">
        <v>7.8</v>
      </c>
      <c r="M649">
        <v>8</v>
      </c>
      <c r="N649" t="s">
        <v>25</v>
      </c>
      <c r="O649">
        <f t="shared" si="20"/>
        <v>689.4</v>
      </c>
      <c r="P649" t="str">
        <f t="shared" si="21"/>
        <v>April</v>
      </c>
    </row>
    <row r="650" spans="1:16" x14ac:dyDescent="0.25">
      <c r="A650" t="s">
        <v>682</v>
      </c>
      <c r="B650">
        <v>36</v>
      </c>
      <c r="C650" t="s">
        <v>21</v>
      </c>
      <c r="D650" t="s">
        <v>36</v>
      </c>
      <c r="E650" s="2">
        <v>45762</v>
      </c>
      <c r="F650" t="s">
        <v>41</v>
      </c>
      <c r="G650">
        <v>60</v>
      </c>
      <c r="H650">
        <v>4</v>
      </c>
      <c r="I650">
        <v>137.36850000000001</v>
      </c>
      <c r="J650">
        <v>7.42</v>
      </c>
      <c r="K650" t="s">
        <v>18</v>
      </c>
      <c r="L650">
        <v>8.1</v>
      </c>
      <c r="M650">
        <v>8</v>
      </c>
      <c r="N650" t="s">
        <v>30</v>
      </c>
      <c r="O650">
        <f t="shared" si="20"/>
        <v>384.78850000000006</v>
      </c>
      <c r="P650" t="str">
        <f t="shared" si="21"/>
        <v>April</v>
      </c>
    </row>
    <row r="651" spans="1:16" x14ac:dyDescent="0.25">
      <c r="A651" t="s">
        <v>683</v>
      </c>
      <c r="B651">
        <v>64</v>
      </c>
      <c r="C651" t="s">
        <v>15</v>
      </c>
      <c r="D651" t="s">
        <v>33</v>
      </c>
      <c r="E651" s="2">
        <v>45703</v>
      </c>
      <c r="F651" t="s">
        <v>29</v>
      </c>
      <c r="G651">
        <v>100</v>
      </c>
      <c r="H651">
        <v>3</v>
      </c>
      <c r="I651">
        <v>43.39</v>
      </c>
      <c r="J651">
        <v>36.130000000000003</v>
      </c>
      <c r="K651" t="s">
        <v>24</v>
      </c>
      <c r="L651">
        <v>9.9</v>
      </c>
      <c r="M651">
        <v>7</v>
      </c>
      <c r="N651" t="s">
        <v>25</v>
      </c>
      <c r="O651">
        <f t="shared" si="20"/>
        <v>379.52</v>
      </c>
      <c r="P651" t="str">
        <f t="shared" si="21"/>
        <v>February</v>
      </c>
    </row>
    <row r="652" spans="1:16" x14ac:dyDescent="0.25">
      <c r="A652" t="s">
        <v>684</v>
      </c>
      <c r="B652">
        <v>33</v>
      </c>
      <c r="C652" t="s">
        <v>21</v>
      </c>
      <c r="D652" t="s">
        <v>16</v>
      </c>
      <c r="E652" s="2">
        <v>45861</v>
      </c>
      <c r="F652" t="s">
        <v>41</v>
      </c>
      <c r="G652">
        <v>60</v>
      </c>
      <c r="H652">
        <v>2</v>
      </c>
      <c r="I652">
        <v>30.05</v>
      </c>
      <c r="J652">
        <v>2.42</v>
      </c>
      <c r="K652" t="s">
        <v>18</v>
      </c>
      <c r="L652">
        <v>8.1</v>
      </c>
      <c r="M652">
        <v>8</v>
      </c>
      <c r="N652" t="s">
        <v>30</v>
      </c>
      <c r="O652">
        <f t="shared" si="20"/>
        <v>152.47</v>
      </c>
      <c r="P652" t="str">
        <f t="shared" si="21"/>
        <v>July</v>
      </c>
    </row>
    <row r="653" spans="1:16" x14ac:dyDescent="0.25">
      <c r="A653" t="s">
        <v>685</v>
      </c>
      <c r="B653">
        <v>22</v>
      </c>
      <c r="C653" t="s">
        <v>15</v>
      </c>
      <c r="D653" t="s">
        <v>22</v>
      </c>
      <c r="E653" s="2">
        <v>45826</v>
      </c>
      <c r="F653" t="s">
        <v>29</v>
      </c>
      <c r="G653">
        <v>100</v>
      </c>
      <c r="H653">
        <v>4</v>
      </c>
      <c r="I653">
        <v>89.28</v>
      </c>
      <c r="J653">
        <v>25.92</v>
      </c>
      <c r="K653" t="s">
        <v>18</v>
      </c>
      <c r="L653">
        <v>6.5</v>
      </c>
      <c r="M653">
        <v>6</v>
      </c>
      <c r="N653" t="s">
        <v>34</v>
      </c>
      <c r="O653">
        <f t="shared" si="20"/>
        <v>515.19999999999993</v>
      </c>
      <c r="P653" t="str">
        <f t="shared" si="21"/>
        <v>June</v>
      </c>
    </row>
    <row r="654" spans="1:16" x14ac:dyDescent="0.25">
      <c r="A654" t="s">
        <v>686</v>
      </c>
      <c r="B654">
        <v>52</v>
      </c>
      <c r="C654" t="s">
        <v>38</v>
      </c>
      <c r="D654" t="s">
        <v>40</v>
      </c>
      <c r="E654" s="2">
        <v>45886</v>
      </c>
      <c r="F654" t="s">
        <v>29</v>
      </c>
      <c r="G654">
        <v>100</v>
      </c>
      <c r="H654">
        <v>2</v>
      </c>
      <c r="I654">
        <v>25.96</v>
      </c>
      <c r="J654">
        <v>7.32</v>
      </c>
      <c r="K654" t="s">
        <v>18</v>
      </c>
      <c r="L654">
        <v>9</v>
      </c>
      <c r="M654">
        <v>6</v>
      </c>
      <c r="N654" t="s">
        <v>19</v>
      </c>
      <c r="O654">
        <f t="shared" si="20"/>
        <v>233.28</v>
      </c>
      <c r="P654" t="str">
        <f t="shared" si="21"/>
        <v>August</v>
      </c>
    </row>
    <row r="655" spans="1:16" x14ac:dyDescent="0.25">
      <c r="A655" t="s">
        <v>687</v>
      </c>
      <c r="B655">
        <v>29</v>
      </c>
      <c r="C655" t="s">
        <v>15</v>
      </c>
      <c r="D655" t="s">
        <v>33</v>
      </c>
      <c r="E655" s="2">
        <v>45697</v>
      </c>
      <c r="F655" t="s">
        <v>17</v>
      </c>
      <c r="G655">
        <v>200</v>
      </c>
      <c r="H655">
        <v>1</v>
      </c>
      <c r="I655">
        <v>51.51</v>
      </c>
      <c r="J655">
        <v>41.55</v>
      </c>
      <c r="K655" t="s">
        <v>18</v>
      </c>
      <c r="L655">
        <v>8</v>
      </c>
      <c r="M655">
        <v>8</v>
      </c>
      <c r="N655" t="s">
        <v>34</v>
      </c>
      <c r="O655">
        <f t="shared" si="20"/>
        <v>293.06</v>
      </c>
      <c r="P655" t="str">
        <f t="shared" si="21"/>
        <v>February</v>
      </c>
    </row>
    <row r="656" spans="1:16" x14ac:dyDescent="0.25">
      <c r="A656" t="s">
        <v>688</v>
      </c>
      <c r="B656">
        <v>42</v>
      </c>
      <c r="C656" t="s">
        <v>21</v>
      </c>
      <c r="D656" t="s">
        <v>52</v>
      </c>
      <c r="E656" s="2">
        <v>45676</v>
      </c>
      <c r="F656" t="s">
        <v>23</v>
      </c>
      <c r="G656">
        <v>150</v>
      </c>
      <c r="H656">
        <v>3</v>
      </c>
      <c r="I656">
        <v>62.82</v>
      </c>
      <c r="J656">
        <v>46.159499999999987</v>
      </c>
      <c r="K656" t="s">
        <v>24</v>
      </c>
      <c r="L656">
        <v>7.4</v>
      </c>
      <c r="M656">
        <v>9</v>
      </c>
      <c r="N656" t="s">
        <v>19</v>
      </c>
      <c r="O656">
        <f t="shared" si="20"/>
        <v>558.97950000000003</v>
      </c>
      <c r="P656" t="str">
        <f t="shared" si="21"/>
        <v>January</v>
      </c>
    </row>
    <row r="657" spans="1:16" x14ac:dyDescent="0.25">
      <c r="A657" t="s">
        <v>689</v>
      </c>
      <c r="B657">
        <v>69</v>
      </c>
      <c r="C657" t="s">
        <v>21</v>
      </c>
      <c r="D657" t="s">
        <v>36</v>
      </c>
      <c r="E657" s="2">
        <v>45850</v>
      </c>
      <c r="F657" t="s">
        <v>41</v>
      </c>
      <c r="G657">
        <v>60</v>
      </c>
      <c r="H657">
        <v>4</v>
      </c>
      <c r="I657">
        <v>86.94</v>
      </c>
      <c r="J657">
        <v>9.5399999999999991</v>
      </c>
      <c r="K657" t="s">
        <v>18</v>
      </c>
      <c r="L657">
        <v>5.6</v>
      </c>
      <c r="M657">
        <v>8</v>
      </c>
      <c r="N657" t="s">
        <v>25</v>
      </c>
      <c r="O657">
        <f t="shared" si="20"/>
        <v>336.48</v>
      </c>
      <c r="P657" t="str">
        <f t="shared" si="21"/>
        <v>July</v>
      </c>
    </row>
    <row r="658" spans="1:16" x14ac:dyDescent="0.25">
      <c r="A658" t="s">
        <v>690</v>
      </c>
      <c r="B658">
        <v>38</v>
      </c>
      <c r="C658" t="s">
        <v>15</v>
      </c>
      <c r="D658" t="s">
        <v>27</v>
      </c>
      <c r="E658" s="2">
        <v>45681</v>
      </c>
      <c r="F658" t="s">
        <v>23</v>
      </c>
      <c r="G658">
        <v>150</v>
      </c>
      <c r="H658">
        <v>2</v>
      </c>
      <c r="I658">
        <v>108.34</v>
      </c>
      <c r="J658">
        <v>12.49</v>
      </c>
      <c r="K658" t="s">
        <v>18</v>
      </c>
      <c r="L658">
        <v>8.1</v>
      </c>
      <c r="M658">
        <v>7</v>
      </c>
      <c r="N658" t="s">
        <v>30</v>
      </c>
      <c r="O658">
        <f t="shared" si="20"/>
        <v>420.83000000000004</v>
      </c>
      <c r="P658" t="str">
        <f t="shared" si="21"/>
        <v>January</v>
      </c>
    </row>
    <row r="659" spans="1:16" x14ac:dyDescent="0.25">
      <c r="A659" t="s">
        <v>691</v>
      </c>
      <c r="B659">
        <v>53</v>
      </c>
      <c r="C659" t="s">
        <v>15</v>
      </c>
      <c r="D659" t="s">
        <v>36</v>
      </c>
      <c r="E659" s="2">
        <v>45801</v>
      </c>
      <c r="F659" t="s">
        <v>41</v>
      </c>
      <c r="G659">
        <v>60</v>
      </c>
      <c r="H659">
        <v>3</v>
      </c>
      <c r="I659">
        <v>137.36850000000001</v>
      </c>
      <c r="J659">
        <v>24.03</v>
      </c>
      <c r="K659" t="s">
        <v>18</v>
      </c>
      <c r="L659">
        <v>8.3000000000000007</v>
      </c>
      <c r="M659">
        <v>7</v>
      </c>
      <c r="N659" t="s">
        <v>19</v>
      </c>
      <c r="O659">
        <f t="shared" si="20"/>
        <v>341.39850000000001</v>
      </c>
      <c r="P659" t="str">
        <f t="shared" si="21"/>
        <v>May</v>
      </c>
    </row>
    <row r="660" spans="1:16" x14ac:dyDescent="0.25">
      <c r="A660" t="s">
        <v>692</v>
      </c>
      <c r="B660">
        <v>40</v>
      </c>
      <c r="C660" t="s">
        <v>15</v>
      </c>
      <c r="D660" t="s">
        <v>27</v>
      </c>
      <c r="E660" s="2">
        <v>45713</v>
      </c>
      <c r="F660" t="s">
        <v>29</v>
      </c>
      <c r="G660">
        <v>100</v>
      </c>
      <c r="H660">
        <v>3</v>
      </c>
      <c r="I660">
        <v>8.4700000000000006</v>
      </c>
      <c r="J660">
        <v>10.63</v>
      </c>
      <c r="K660" t="s">
        <v>24</v>
      </c>
      <c r="L660">
        <v>6.5</v>
      </c>
      <c r="M660">
        <v>9</v>
      </c>
      <c r="N660" t="s">
        <v>19</v>
      </c>
      <c r="O660">
        <f t="shared" si="20"/>
        <v>319.10000000000002</v>
      </c>
      <c r="P660" t="str">
        <f t="shared" si="21"/>
        <v>February</v>
      </c>
    </row>
    <row r="661" spans="1:16" x14ac:dyDescent="0.25">
      <c r="A661" t="s">
        <v>693</v>
      </c>
      <c r="B661">
        <v>33</v>
      </c>
      <c r="C661" t="s">
        <v>15</v>
      </c>
      <c r="D661" t="s">
        <v>36</v>
      </c>
      <c r="E661" s="2">
        <v>45747</v>
      </c>
      <c r="F661" t="s">
        <v>17</v>
      </c>
      <c r="G661">
        <v>200</v>
      </c>
      <c r="H661">
        <v>1</v>
      </c>
      <c r="I661">
        <v>137.36850000000001</v>
      </c>
      <c r="J661">
        <v>3.38</v>
      </c>
      <c r="K661" t="s">
        <v>18</v>
      </c>
      <c r="L661">
        <v>9.1</v>
      </c>
      <c r="M661">
        <v>10</v>
      </c>
      <c r="N661" t="s">
        <v>30</v>
      </c>
      <c r="O661">
        <f t="shared" si="20"/>
        <v>340.74850000000004</v>
      </c>
      <c r="P661" t="str">
        <f t="shared" si="21"/>
        <v>March</v>
      </c>
    </row>
    <row r="662" spans="1:16" x14ac:dyDescent="0.25">
      <c r="A662" t="s">
        <v>694</v>
      </c>
      <c r="B662">
        <v>56</v>
      </c>
      <c r="C662" t="s">
        <v>21</v>
      </c>
      <c r="D662" t="s">
        <v>27</v>
      </c>
      <c r="E662" s="2">
        <v>45743</v>
      </c>
      <c r="F662" t="s">
        <v>17</v>
      </c>
      <c r="G662">
        <v>200</v>
      </c>
      <c r="H662">
        <v>1</v>
      </c>
      <c r="I662">
        <v>13.69</v>
      </c>
      <c r="J662">
        <v>43.65</v>
      </c>
      <c r="K662" t="s">
        <v>18</v>
      </c>
      <c r="L662">
        <v>9</v>
      </c>
      <c r="M662">
        <v>9</v>
      </c>
      <c r="N662" t="s">
        <v>19</v>
      </c>
      <c r="O662">
        <f t="shared" si="20"/>
        <v>257.33999999999997</v>
      </c>
      <c r="P662" t="str">
        <f t="shared" si="21"/>
        <v>March</v>
      </c>
    </row>
    <row r="663" spans="1:16" x14ac:dyDescent="0.25">
      <c r="A663" t="s">
        <v>695</v>
      </c>
      <c r="B663">
        <v>62</v>
      </c>
      <c r="C663" t="s">
        <v>15</v>
      </c>
      <c r="D663" t="s">
        <v>22</v>
      </c>
      <c r="E663" s="2">
        <v>45685</v>
      </c>
      <c r="F663" t="s">
        <v>23</v>
      </c>
      <c r="G663">
        <v>150</v>
      </c>
      <c r="H663">
        <v>3</v>
      </c>
      <c r="I663">
        <v>20.34</v>
      </c>
      <c r="J663">
        <v>11.23</v>
      </c>
      <c r="K663" t="s">
        <v>18</v>
      </c>
      <c r="L663">
        <v>8.1</v>
      </c>
      <c r="M663">
        <v>10</v>
      </c>
      <c r="N663" t="s">
        <v>25</v>
      </c>
      <c r="O663">
        <f t="shared" si="20"/>
        <v>481.57</v>
      </c>
      <c r="P663" t="str">
        <f t="shared" si="21"/>
        <v>January</v>
      </c>
    </row>
    <row r="664" spans="1:16" x14ac:dyDescent="0.25">
      <c r="A664" t="s">
        <v>696</v>
      </c>
      <c r="B664">
        <v>59</v>
      </c>
      <c r="C664" t="s">
        <v>15</v>
      </c>
      <c r="D664" t="s">
        <v>16</v>
      </c>
      <c r="E664" s="2">
        <v>45824</v>
      </c>
      <c r="F664" t="s">
        <v>41</v>
      </c>
      <c r="G664">
        <v>60</v>
      </c>
      <c r="H664">
        <v>3</v>
      </c>
      <c r="I664">
        <v>79.75</v>
      </c>
      <c r="J664">
        <v>20.98</v>
      </c>
      <c r="K664" t="s">
        <v>24</v>
      </c>
      <c r="L664">
        <v>8</v>
      </c>
      <c r="M664">
        <v>6</v>
      </c>
      <c r="N664" t="s">
        <v>19</v>
      </c>
      <c r="O664">
        <f t="shared" si="20"/>
        <v>280.73</v>
      </c>
      <c r="P664" t="str">
        <f t="shared" si="21"/>
        <v>June</v>
      </c>
    </row>
    <row r="665" spans="1:16" x14ac:dyDescent="0.25">
      <c r="A665" t="s">
        <v>697</v>
      </c>
      <c r="B665">
        <v>56</v>
      </c>
      <c r="C665" t="s">
        <v>15</v>
      </c>
      <c r="D665" t="s">
        <v>27</v>
      </c>
      <c r="E665" s="2">
        <v>45869</v>
      </c>
      <c r="F665" t="s">
        <v>29</v>
      </c>
      <c r="G665">
        <v>100</v>
      </c>
      <c r="H665">
        <v>4</v>
      </c>
      <c r="I665">
        <v>55.3</v>
      </c>
      <c r="J665">
        <v>9.09</v>
      </c>
      <c r="K665" t="s">
        <v>18</v>
      </c>
      <c r="L665">
        <v>9.4</v>
      </c>
      <c r="M665">
        <v>8</v>
      </c>
      <c r="N665" t="s">
        <v>19</v>
      </c>
      <c r="O665">
        <f t="shared" si="20"/>
        <v>464.39</v>
      </c>
      <c r="P665" t="str">
        <f t="shared" si="21"/>
        <v>July</v>
      </c>
    </row>
    <row r="666" spans="1:16" x14ac:dyDescent="0.25">
      <c r="A666" t="s">
        <v>698</v>
      </c>
      <c r="B666">
        <v>31</v>
      </c>
      <c r="C666" t="s">
        <v>21</v>
      </c>
      <c r="D666" t="s">
        <v>27</v>
      </c>
      <c r="E666" s="2">
        <v>45875</v>
      </c>
      <c r="F666" t="s">
        <v>23</v>
      </c>
      <c r="G666">
        <v>150</v>
      </c>
      <c r="H666">
        <v>3</v>
      </c>
      <c r="I666">
        <v>18.22</v>
      </c>
      <c r="J666">
        <v>19.37</v>
      </c>
      <c r="K666" t="s">
        <v>18</v>
      </c>
      <c r="L666">
        <v>8.6</v>
      </c>
      <c r="M666">
        <v>10</v>
      </c>
      <c r="N666" t="s">
        <v>30</v>
      </c>
      <c r="O666">
        <f t="shared" si="20"/>
        <v>487.59000000000003</v>
      </c>
      <c r="P666" t="str">
        <f t="shared" si="21"/>
        <v>August</v>
      </c>
    </row>
    <row r="667" spans="1:16" x14ac:dyDescent="0.25">
      <c r="A667" t="s">
        <v>699</v>
      </c>
      <c r="B667">
        <v>48</v>
      </c>
      <c r="C667" t="s">
        <v>15</v>
      </c>
      <c r="D667" t="s">
        <v>40</v>
      </c>
      <c r="E667" s="2">
        <v>45856</v>
      </c>
      <c r="F667" t="s">
        <v>23</v>
      </c>
      <c r="G667">
        <v>150</v>
      </c>
      <c r="H667">
        <v>4</v>
      </c>
      <c r="I667">
        <v>75.63</v>
      </c>
      <c r="J667">
        <v>19.04</v>
      </c>
      <c r="K667" t="s">
        <v>18</v>
      </c>
      <c r="L667">
        <v>6.9</v>
      </c>
      <c r="M667">
        <v>6</v>
      </c>
      <c r="N667" t="s">
        <v>19</v>
      </c>
      <c r="O667">
        <f t="shared" si="20"/>
        <v>694.67</v>
      </c>
      <c r="P667" t="str">
        <f t="shared" si="21"/>
        <v>July</v>
      </c>
    </row>
    <row r="668" spans="1:16" x14ac:dyDescent="0.25">
      <c r="A668" t="s">
        <v>700</v>
      </c>
      <c r="B668">
        <v>22</v>
      </c>
      <c r="C668" t="s">
        <v>15</v>
      </c>
      <c r="D668" t="s">
        <v>27</v>
      </c>
      <c r="E668" s="2">
        <v>45788</v>
      </c>
      <c r="F668" t="s">
        <v>17</v>
      </c>
      <c r="G668">
        <v>200</v>
      </c>
      <c r="H668">
        <v>3</v>
      </c>
      <c r="I668">
        <v>43.22</v>
      </c>
      <c r="J668">
        <v>22.62</v>
      </c>
      <c r="K668" t="s">
        <v>18</v>
      </c>
      <c r="L668">
        <v>7.7</v>
      </c>
      <c r="M668">
        <v>7</v>
      </c>
      <c r="N668" t="s">
        <v>34</v>
      </c>
      <c r="O668">
        <f t="shared" si="20"/>
        <v>665.84</v>
      </c>
      <c r="P668" t="str">
        <f t="shared" si="21"/>
        <v>May</v>
      </c>
    </row>
    <row r="669" spans="1:16" x14ac:dyDescent="0.25">
      <c r="A669" t="s">
        <v>701</v>
      </c>
      <c r="B669">
        <v>52</v>
      </c>
      <c r="C669" t="s">
        <v>15</v>
      </c>
      <c r="D669" t="s">
        <v>40</v>
      </c>
      <c r="E669" s="2">
        <v>45663</v>
      </c>
      <c r="F669" t="s">
        <v>29</v>
      </c>
      <c r="G669">
        <v>100</v>
      </c>
      <c r="H669">
        <v>1</v>
      </c>
      <c r="I669">
        <v>9.1999999999999993</v>
      </c>
      <c r="J669">
        <v>10.73</v>
      </c>
      <c r="K669" t="s">
        <v>24</v>
      </c>
      <c r="L669">
        <v>8.8000000000000007</v>
      </c>
      <c r="M669">
        <v>9</v>
      </c>
      <c r="N669" t="s">
        <v>19</v>
      </c>
      <c r="O669">
        <f t="shared" si="20"/>
        <v>119.93</v>
      </c>
      <c r="P669" t="str">
        <f t="shared" si="21"/>
        <v>January</v>
      </c>
    </row>
    <row r="670" spans="1:16" x14ac:dyDescent="0.25">
      <c r="A670" t="s">
        <v>702</v>
      </c>
      <c r="B670">
        <v>40</v>
      </c>
      <c r="C670" t="s">
        <v>15</v>
      </c>
      <c r="D670" t="s">
        <v>52</v>
      </c>
      <c r="E670" s="2">
        <v>45797</v>
      </c>
      <c r="F670" t="s">
        <v>17</v>
      </c>
      <c r="G670">
        <v>200</v>
      </c>
      <c r="H670">
        <v>4</v>
      </c>
      <c r="I670">
        <v>111.32</v>
      </c>
      <c r="J670">
        <v>6.7</v>
      </c>
      <c r="K670" t="s">
        <v>24</v>
      </c>
      <c r="L670">
        <v>5</v>
      </c>
      <c r="M670">
        <v>8</v>
      </c>
      <c r="N670" t="s">
        <v>19</v>
      </c>
      <c r="O670">
        <f t="shared" si="20"/>
        <v>918.02</v>
      </c>
      <c r="P670" t="str">
        <f t="shared" si="21"/>
        <v>May</v>
      </c>
    </row>
    <row r="671" spans="1:16" x14ac:dyDescent="0.25">
      <c r="A671" t="s">
        <v>703</v>
      </c>
      <c r="B671">
        <v>46</v>
      </c>
      <c r="C671" t="s">
        <v>21</v>
      </c>
      <c r="D671" t="s">
        <v>22</v>
      </c>
      <c r="E671" s="2">
        <v>45764</v>
      </c>
      <c r="F671" t="s">
        <v>41</v>
      </c>
      <c r="G671">
        <v>60</v>
      </c>
      <c r="H671">
        <v>2</v>
      </c>
      <c r="I671">
        <v>24.49</v>
      </c>
      <c r="J671">
        <v>9.5299999999999994</v>
      </c>
      <c r="K671" t="s">
        <v>18</v>
      </c>
      <c r="L671">
        <v>6.6</v>
      </c>
      <c r="M671">
        <v>7</v>
      </c>
      <c r="N671" t="s">
        <v>19</v>
      </c>
      <c r="O671">
        <f t="shared" si="20"/>
        <v>154.02000000000001</v>
      </c>
      <c r="P671" t="str">
        <f t="shared" si="21"/>
        <v>April</v>
      </c>
    </row>
    <row r="672" spans="1:16" x14ac:dyDescent="0.25">
      <c r="A672" t="s">
        <v>704</v>
      </c>
      <c r="B672">
        <v>60</v>
      </c>
      <c r="C672" t="s">
        <v>15</v>
      </c>
      <c r="D672" t="s">
        <v>40</v>
      </c>
      <c r="E672" s="2">
        <v>45800</v>
      </c>
      <c r="F672" t="s">
        <v>23</v>
      </c>
      <c r="G672">
        <v>150</v>
      </c>
      <c r="H672">
        <v>1</v>
      </c>
      <c r="I672">
        <v>18.39</v>
      </c>
      <c r="J672">
        <v>46.159499999999987</v>
      </c>
      <c r="K672" t="s">
        <v>18</v>
      </c>
      <c r="L672">
        <v>9</v>
      </c>
      <c r="M672">
        <v>6</v>
      </c>
      <c r="N672" t="s">
        <v>25</v>
      </c>
      <c r="O672">
        <f t="shared" si="20"/>
        <v>214.54949999999997</v>
      </c>
      <c r="P672" t="str">
        <f t="shared" si="21"/>
        <v>May</v>
      </c>
    </row>
    <row r="673" spans="1:16" x14ac:dyDescent="0.25">
      <c r="A673" t="s">
        <v>705</v>
      </c>
      <c r="B673">
        <v>28</v>
      </c>
      <c r="C673" t="s">
        <v>15</v>
      </c>
      <c r="D673" t="s">
        <v>16</v>
      </c>
      <c r="E673" s="2">
        <v>45736</v>
      </c>
      <c r="F673" t="s">
        <v>23</v>
      </c>
      <c r="G673">
        <v>150</v>
      </c>
      <c r="H673">
        <v>4</v>
      </c>
      <c r="I673">
        <v>51.53</v>
      </c>
      <c r="J673">
        <v>27.41</v>
      </c>
      <c r="K673" t="s">
        <v>18</v>
      </c>
      <c r="L673">
        <v>9.8000000000000007</v>
      </c>
      <c r="M673">
        <v>10</v>
      </c>
      <c r="N673" t="s">
        <v>34</v>
      </c>
      <c r="O673">
        <f t="shared" si="20"/>
        <v>678.93999999999994</v>
      </c>
      <c r="P673" t="str">
        <f t="shared" si="21"/>
        <v>March</v>
      </c>
    </row>
    <row r="674" spans="1:16" x14ac:dyDescent="0.25">
      <c r="A674" t="s">
        <v>706</v>
      </c>
      <c r="B674">
        <v>35</v>
      </c>
      <c r="C674" t="s">
        <v>21</v>
      </c>
      <c r="D674" t="s">
        <v>33</v>
      </c>
      <c r="E674" s="2">
        <v>45860</v>
      </c>
      <c r="F674" t="s">
        <v>29</v>
      </c>
      <c r="G674">
        <v>100</v>
      </c>
      <c r="H674">
        <v>4</v>
      </c>
      <c r="I674">
        <v>21.97</v>
      </c>
      <c r="J674">
        <v>17.47</v>
      </c>
      <c r="K674" t="s">
        <v>18</v>
      </c>
      <c r="L674">
        <v>9.5</v>
      </c>
      <c r="M674">
        <v>5</v>
      </c>
      <c r="N674" t="s">
        <v>30</v>
      </c>
      <c r="O674">
        <f t="shared" si="20"/>
        <v>439.44000000000005</v>
      </c>
      <c r="P674" t="str">
        <f t="shared" si="21"/>
        <v>July</v>
      </c>
    </row>
    <row r="675" spans="1:16" x14ac:dyDescent="0.25">
      <c r="A675" t="s">
        <v>707</v>
      </c>
      <c r="B675">
        <v>64</v>
      </c>
      <c r="C675" t="s">
        <v>21</v>
      </c>
      <c r="D675" t="s">
        <v>22</v>
      </c>
      <c r="E675" s="2">
        <v>45758</v>
      </c>
      <c r="F675" t="s">
        <v>29</v>
      </c>
      <c r="G675">
        <v>100</v>
      </c>
      <c r="H675">
        <v>2</v>
      </c>
      <c r="I675">
        <v>75.37</v>
      </c>
      <c r="J675">
        <v>5.39</v>
      </c>
      <c r="K675" t="s">
        <v>18</v>
      </c>
      <c r="L675">
        <v>9.3000000000000007</v>
      </c>
      <c r="M675">
        <v>9</v>
      </c>
      <c r="N675" t="s">
        <v>25</v>
      </c>
      <c r="O675">
        <f t="shared" si="20"/>
        <v>280.76</v>
      </c>
      <c r="P675" t="str">
        <f t="shared" si="21"/>
        <v>April</v>
      </c>
    </row>
    <row r="676" spans="1:16" x14ac:dyDescent="0.25">
      <c r="A676" t="s">
        <v>708</v>
      </c>
      <c r="B676">
        <v>29</v>
      </c>
      <c r="C676" t="s">
        <v>15</v>
      </c>
      <c r="D676" t="s">
        <v>40</v>
      </c>
      <c r="E676" s="2">
        <v>45895</v>
      </c>
      <c r="F676" t="s">
        <v>41</v>
      </c>
      <c r="G676">
        <v>60</v>
      </c>
      <c r="H676">
        <v>4</v>
      </c>
      <c r="I676">
        <v>42.58</v>
      </c>
      <c r="J676">
        <v>23.28</v>
      </c>
      <c r="K676" t="s">
        <v>18</v>
      </c>
      <c r="L676">
        <v>8.1999999999999993</v>
      </c>
      <c r="M676">
        <v>7</v>
      </c>
      <c r="N676" t="s">
        <v>34</v>
      </c>
      <c r="O676">
        <f t="shared" si="20"/>
        <v>305.86</v>
      </c>
      <c r="P676" t="str">
        <f t="shared" si="21"/>
        <v>August</v>
      </c>
    </row>
    <row r="677" spans="1:16" x14ac:dyDescent="0.25">
      <c r="A677" t="s">
        <v>709</v>
      </c>
      <c r="B677">
        <v>26</v>
      </c>
      <c r="C677" t="s">
        <v>21</v>
      </c>
      <c r="D677" t="s">
        <v>22</v>
      </c>
      <c r="E677" s="2">
        <v>45812</v>
      </c>
      <c r="F677" t="s">
        <v>29</v>
      </c>
      <c r="G677">
        <v>100</v>
      </c>
      <c r="H677">
        <v>3</v>
      </c>
      <c r="I677">
        <v>63.44</v>
      </c>
      <c r="J677">
        <v>46.159499999999987</v>
      </c>
      <c r="K677" t="s">
        <v>18</v>
      </c>
      <c r="L677">
        <v>6.5</v>
      </c>
      <c r="M677">
        <v>10</v>
      </c>
      <c r="N677" t="s">
        <v>34</v>
      </c>
      <c r="O677">
        <f t="shared" si="20"/>
        <v>409.59949999999998</v>
      </c>
      <c r="P677" t="str">
        <f t="shared" si="21"/>
        <v>June</v>
      </c>
    </row>
    <row r="678" spans="1:16" x14ac:dyDescent="0.25">
      <c r="A678" t="s">
        <v>710</v>
      </c>
      <c r="B678">
        <v>27</v>
      </c>
      <c r="C678" t="s">
        <v>38</v>
      </c>
      <c r="D678" t="s">
        <v>22</v>
      </c>
      <c r="E678" s="2">
        <v>45669</v>
      </c>
      <c r="F678" t="s">
        <v>17</v>
      </c>
      <c r="G678">
        <v>200</v>
      </c>
      <c r="H678">
        <v>2</v>
      </c>
      <c r="I678">
        <v>28.24</v>
      </c>
      <c r="J678">
        <v>19.57</v>
      </c>
      <c r="K678" t="s">
        <v>18</v>
      </c>
      <c r="L678">
        <v>7.7</v>
      </c>
      <c r="M678">
        <v>6</v>
      </c>
      <c r="N678" t="s">
        <v>34</v>
      </c>
      <c r="O678">
        <f t="shared" si="20"/>
        <v>447.81</v>
      </c>
      <c r="P678" t="str">
        <f t="shared" si="21"/>
        <v>January</v>
      </c>
    </row>
    <row r="679" spans="1:16" x14ac:dyDescent="0.25">
      <c r="A679" t="s">
        <v>711</v>
      </c>
      <c r="B679">
        <v>61</v>
      </c>
      <c r="C679" t="s">
        <v>15</v>
      </c>
      <c r="D679" t="s">
        <v>22</v>
      </c>
      <c r="E679" s="2">
        <v>45891</v>
      </c>
      <c r="F679" t="s">
        <v>29</v>
      </c>
      <c r="G679">
        <v>100</v>
      </c>
      <c r="H679">
        <v>1</v>
      </c>
      <c r="I679">
        <v>54.5</v>
      </c>
      <c r="J679">
        <v>24.54</v>
      </c>
      <c r="K679" t="s">
        <v>24</v>
      </c>
      <c r="L679">
        <v>5</v>
      </c>
      <c r="M679">
        <v>10</v>
      </c>
      <c r="N679" t="s">
        <v>25</v>
      </c>
      <c r="O679">
        <f t="shared" si="20"/>
        <v>179.04</v>
      </c>
      <c r="P679" t="str">
        <f t="shared" si="21"/>
        <v>August</v>
      </c>
    </row>
    <row r="680" spans="1:16" x14ac:dyDescent="0.25">
      <c r="A680" t="s">
        <v>712</v>
      </c>
      <c r="B680">
        <v>34</v>
      </c>
      <c r="C680" t="s">
        <v>21</v>
      </c>
      <c r="D680" t="s">
        <v>52</v>
      </c>
      <c r="E680" s="2">
        <v>45878</v>
      </c>
      <c r="F680" t="s">
        <v>23</v>
      </c>
      <c r="G680">
        <v>150</v>
      </c>
      <c r="H680">
        <v>1</v>
      </c>
      <c r="I680">
        <v>22.86</v>
      </c>
      <c r="J680">
        <v>7.42</v>
      </c>
      <c r="K680" t="s">
        <v>24</v>
      </c>
      <c r="L680">
        <v>10</v>
      </c>
      <c r="M680">
        <v>9</v>
      </c>
      <c r="N680" t="s">
        <v>30</v>
      </c>
      <c r="O680">
        <f t="shared" si="20"/>
        <v>180.28</v>
      </c>
      <c r="P680" t="str">
        <f t="shared" si="21"/>
        <v>August</v>
      </c>
    </row>
    <row r="681" spans="1:16" x14ac:dyDescent="0.25">
      <c r="A681" t="s">
        <v>713</v>
      </c>
      <c r="B681">
        <v>55</v>
      </c>
      <c r="C681" t="s">
        <v>21</v>
      </c>
      <c r="D681" t="s">
        <v>16</v>
      </c>
      <c r="E681" s="2">
        <v>45681</v>
      </c>
      <c r="F681" t="s">
        <v>17</v>
      </c>
      <c r="G681">
        <v>200</v>
      </c>
      <c r="H681">
        <v>3</v>
      </c>
      <c r="I681">
        <v>38.33</v>
      </c>
      <c r="J681">
        <v>17.489999999999998</v>
      </c>
      <c r="K681" t="s">
        <v>24</v>
      </c>
      <c r="L681">
        <v>6.8</v>
      </c>
      <c r="M681">
        <v>9</v>
      </c>
      <c r="N681" t="s">
        <v>19</v>
      </c>
      <c r="O681">
        <f t="shared" si="20"/>
        <v>655.82</v>
      </c>
      <c r="P681" t="str">
        <f t="shared" si="21"/>
        <v>January</v>
      </c>
    </row>
    <row r="682" spans="1:16" x14ac:dyDescent="0.25">
      <c r="A682" t="s">
        <v>714</v>
      </c>
      <c r="B682">
        <v>24</v>
      </c>
      <c r="C682" t="s">
        <v>21</v>
      </c>
      <c r="D682" t="s">
        <v>36</v>
      </c>
      <c r="E682" s="2">
        <v>45852</v>
      </c>
      <c r="F682" t="s">
        <v>41</v>
      </c>
      <c r="G682">
        <v>60</v>
      </c>
      <c r="H682">
        <v>1</v>
      </c>
      <c r="I682">
        <v>48.33</v>
      </c>
      <c r="J682">
        <v>46.159499999999987</v>
      </c>
      <c r="K682" t="s">
        <v>18</v>
      </c>
      <c r="L682">
        <v>7.2</v>
      </c>
      <c r="M682">
        <v>7</v>
      </c>
      <c r="N682" t="s">
        <v>34</v>
      </c>
      <c r="O682">
        <f t="shared" si="20"/>
        <v>154.48949999999999</v>
      </c>
      <c r="P682" t="str">
        <f t="shared" si="21"/>
        <v>July</v>
      </c>
    </row>
    <row r="683" spans="1:16" x14ac:dyDescent="0.25">
      <c r="A683" t="s">
        <v>715</v>
      </c>
      <c r="B683">
        <v>63</v>
      </c>
      <c r="C683" t="s">
        <v>15</v>
      </c>
      <c r="D683" t="s">
        <v>36</v>
      </c>
      <c r="E683" s="2">
        <v>45875</v>
      </c>
      <c r="F683" t="s">
        <v>41</v>
      </c>
      <c r="G683">
        <v>60</v>
      </c>
      <c r="H683">
        <v>4</v>
      </c>
      <c r="I683">
        <v>7.79</v>
      </c>
      <c r="J683">
        <v>13.47</v>
      </c>
      <c r="K683" t="s">
        <v>24</v>
      </c>
      <c r="L683">
        <v>9.6</v>
      </c>
      <c r="M683">
        <v>8</v>
      </c>
      <c r="N683" t="s">
        <v>25</v>
      </c>
      <c r="O683">
        <f t="shared" si="20"/>
        <v>261.26</v>
      </c>
      <c r="P683" t="str">
        <f t="shared" si="21"/>
        <v>August</v>
      </c>
    </row>
    <row r="684" spans="1:16" x14ac:dyDescent="0.25">
      <c r="A684" t="s">
        <v>716</v>
      </c>
      <c r="B684">
        <v>30</v>
      </c>
      <c r="C684" t="s">
        <v>15</v>
      </c>
      <c r="D684" t="s">
        <v>40</v>
      </c>
      <c r="E684" s="2">
        <v>45900</v>
      </c>
      <c r="F684" t="s">
        <v>41</v>
      </c>
      <c r="G684">
        <v>60</v>
      </c>
      <c r="H684">
        <v>4</v>
      </c>
      <c r="I684">
        <v>100.8</v>
      </c>
      <c r="J684">
        <v>37.630000000000003</v>
      </c>
      <c r="K684" t="s">
        <v>18</v>
      </c>
      <c r="L684">
        <v>5.6</v>
      </c>
      <c r="M684">
        <v>8</v>
      </c>
      <c r="N684" t="s">
        <v>30</v>
      </c>
      <c r="O684">
        <f t="shared" si="20"/>
        <v>378.43</v>
      </c>
      <c r="P684" t="str">
        <f t="shared" si="21"/>
        <v>August</v>
      </c>
    </row>
    <row r="685" spans="1:16" x14ac:dyDescent="0.25">
      <c r="A685" t="s">
        <v>717</v>
      </c>
      <c r="B685">
        <v>57</v>
      </c>
      <c r="C685" t="s">
        <v>21</v>
      </c>
      <c r="D685" t="s">
        <v>22</v>
      </c>
      <c r="E685" s="2">
        <v>45729</v>
      </c>
      <c r="F685" t="s">
        <v>29</v>
      </c>
      <c r="G685">
        <v>100</v>
      </c>
      <c r="H685">
        <v>3</v>
      </c>
      <c r="I685">
        <v>11.84</v>
      </c>
      <c r="J685">
        <v>7.05</v>
      </c>
      <c r="K685" t="s">
        <v>18</v>
      </c>
      <c r="L685">
        <v>6.2</v>
      </c>
      <c r="M685">
        <v>10</v>
      </c>
      <c r="N685" t="s">
        <v>19</v>
      </c>
      <c r="O685">
        <f t="shared" si="20"/>
        <v>318.89</v>
      </c>
      <c r="P685" t="str">
        <f t="shared" si="21"/>
        <v>March</v>
      </c>
    </row>
    <row r="686" spans="1:16" x14ac:dyDescent="0.25">
      <c r="A686" t="s">
        <v>718</v>
      </c>
      <c r="B686">
        <v>59</v>
      </c>
      <c r="C686" t="s">
        <v>38</v>
      </c>
      <c r="D686" t="s">
        <v>40</v>
      </c>
      <c r="E686" s="2">
        <v>45876</v>
      </c>
      <c r="F686" t="s">
        <v>29</v>
      </c>
      <c r="G686">
        <v>100</v>
      </c>
      <c r="H686">
        <v>1</v>
      </c>
      <c r="I686">
        <v>19.760000000000002</v>
      </c>
      <c r="J686">
        <v>21.75</v>
      </c>
      <c r="K686" t="s">
        <v>24</v>
      </c>
      <c r="L686">
        <v>8.4</v>
      </c>
      <c r="M686">
        <v>9</v>
      </c>
      <c r="N686" t="s">
        <v>19</v>
      </c>
      <c r="O686">
        <f t="shared" si="20"/>
        <v>141.51</v>
      </c>
      <c r="P686" t="str">
        <f t="shared" si="21"/>
        <v>August</v>
      </c>
    </row>
    <row r="687" spans="1:16" x14ac:dyDescent="0.25">
      <c r="A687" t="s">
        <v>719</v>
      </c>
      <c r="B687">
        <v>26</v>
      </c>
      <c r="C687" t="s">
        <v>21</v>
      </c>
      <c r="D687" t="s">
        <v>52</v>
      </c>
      <c r="E687" s="2">
        <v>45709</v>
      </c>
      <c r="F687" t="s">
        <v>23</v>
      </c>
      <c r="G687">
        <v>150</v>
      </c>
      <c r="H687">
        <v>1</v>
      </c>
      <c r="I687">
        <v>23.5</v>
      </c>
      <c r="J687">
        <v>14.36</v>
      </c>
      <c r="K687" t="s">
        <v>18</v>
      </c>
      <c r="L687">
        <v>8.8000000000000007</v>
      </c>
      <c r="M687">
        <v>9</v>
      </c>
      <c r="N687" t="s">
        <v>34</v>
      </c>
      <c r="O687">
        <f t="shared" si="20"/>
        <v>187.86</v>
      </c>
      <c r="P687" t="str">
        <f t="shared" si="21"/>
        <v>February</v>
      </c>
    </row>
    <row r="688" spans="1:16" x14ac:dyDescent="0.25">
      <c r="A688" t="s">
        <v>720</v>
      </c>
      <c r="B688">
        <v>67</v>
      </c>
      <c r="C688" t="s">
        <v>15</v>
      </c>
      <c r="D688" t="s">
        <v>52</v>
      </c>
      <c r="E688" s="2">
        <v>45808</v>
      </c>
      <c r="F688" t="s">
        <v>23</v>
      </c>
      <c r="G688">
        <v>150</v>
      </c>
      <c r="H688">
        <v>3</v>
      </c>
      <c r="I688">
        <v>72.84</v>
      </c>
      <c r="J688">
        <v>36.630000000000003</v>
      </c>
      <c r="K688" t="s">
        <v>18</v>
      </c>
      <c r="L688">
        <v>7.9</v>
      </c>
      <c r="M688">
        <v>9</v>
      </c>
      <c r="N688" t="s">
        <v>25</v>
      </c>
      <c r="O688">
        <f t="shared" si="20"/>
        <v>559.47</v>
      </c>
      <c r="P688" t="str">
        <f t="shared" si="21"/>
        <v>May</v>
      </c>
    </row>
    <row r="689" spans="1:16" x14ac:dyDescent="0.25">
      <c r="A689" t="s">
        <v>721</v>
      </c>
      <c r="B689">
        <v>44</v>
      </c>
      <c r="C689" t="s">
        <v>21</v>
      </c>
      <c r="D689" t="s">
        <v>27</v>
      </c>
      <c r="E689" s="2">
        <v>45767</v>
      </c>
      <c r="F689" t="s">
        <v>41</v>
      </c>
      <c r="G689">
        <v>60</v>
      </c>
      <c r="H689">
        <v>2</v>
      </c>
      <c r="I689">
        <v>31.08</v>
      </c>
      <c r="J689">
        <v>42.28</v>
      </c>
      <c r="K689" t="s">
        <v>18</v>
      </c>
      <c r="L689">
        <v>7.9</v>
      </c>
      <c r="M689">
        <v>9</v>
      </c>
      <c r="N689" t="s">
        <v>19</v>
      </c>
      <c r="O689">
        <f t="shared" si="20"/>
        <v>193.35999999999999</v>
      </c>
      <c r="P689" t="str">
        <f t="shared" si="21"/>
        <v>April</v>
      </c>
    </row>
    <row r="690" spans="1:16" x14ac:dyDescent="0.25">
      <c r="A690" t="s">
        <v>722</v>
      </c>
      <c r="B690">
        <v>19</v>
      </c>
      <c r="C690" t="s">
        <v>21</v>
      </c>
      <c r="D690" t="s">
        <v>52</v>
      </c>
      <c r="E690" s="2">
        <v>45878</v>
      </c>
      <c r="F690" t="s">
        <v>23</v>
      </c>
      <c r="G690">
        <v>150</v>
      </c>
      <c r="H690">
        <v>1</v>
      </c>
      <c r="I690">
        <v>137.36850000000001</v>
      </c>
      <c r="J690">
        <v>19.84</v>
      </c>
      <c r="K690" t="s">
        <v>18</v>
      </c>
      <c r="L690">
        <v>9.9</v>
      </c>
      <c r="M690">
        <v>6</v>
      </c>
      <c r="N690" t="s">
        <v>34</v>
      </c>
      <c r="O690">
        <f t="shared" si="20"/>
        <v>307.20850000000002</v>
      </c>
      <c r="P690" t="str">
        <f t="shared" si="21"/>
        <v>August</v>
      </c>
    </row>
    <row r="691" spans="1:16" x14ac:dyDescent="0.25">
      <c r="A691" t="s">
        <v>723</v>
      </c>
      <c r="B691">
        <v>22</v>
      </c>
      <c r="C691" t="s">
        <v>15</v>
      </c>
      <c r="D691" t="s">
        <v>27</v>
      </c>
      <c r="E691" s="2">
        <v>45847</v>
      </c>
      <c r="F691" t="s">
        <v>41</v>
      </c>
      <c r="G691">
        <v>60</v>
      </c>
      <c r="H691">
        <v>2</v>
      </c>
      <c r="I691">
        <v>137.36850000000001</v>
      </c>
      <c r="J691">
        <v>20.81</v>
      </c>
      <c r="K691" t="s">
        <v>18</v>
      </c>
      <c r="L691">
        <v>9</v>
      </c>
      <c r="M691">
        <v>10</v>
      </c>
      <c r="N691" t="s">
        <v>34</v>
      </c>
      <c r="O691">
        <f t="shared" si="20"/>
        <v>278.17850000000004</v>
      </c>
      <c r="P691" t="str">
        <f t="shared" si="21"/>
        <v>July</v>
      </c>
    </row>
    <row r="692" spans="1:16" x14ac:dyDescent="0.25">
      <c r="A692" t="s">
        <v>724</v>
      </c>
      <c r="B692">
        <v>46</v>
      </c>
      <c r="C692" t="s">
        <v>15</v>
      </c>
      <c r="D692" t="s">
        <v>16</v>
      </c>
      <c r="E692" s="2">
        <v>45896</v>
      </c>
      <c r="F692" t="s">
        <v>41</v>
      </c>
      <c r="G692">
        <v>60</v>
      </c>
      <c r="H692">
        <v>1</v>
      </c>
      <c r="I692">
        <v>74.989999999999995</v>
      </c>
      <c r="J692">
        <v>46.159499999999987</v>
      </c>
      <c r="K692" t="s">
        <v>18</v>
      </c>
      <c r="L692">
        <v>8.8000000000000007</v>
      </c>
      <c r="M692">
        <v>7</v>
      </c>
      <c r="N692" t="s">
        <v>19</v>
      </c>
      <c r="O692">
        <f t="shared" si="20"/>
        <v>181.14949999999999</v>
      </c>
      <c r="P692" t="str">
        <f t="shared" si="21"/>
        <v>August</v>
      </c>
    </row>
    <row r="693" spans="1:16" x14ac:dyDescent="0.25">
      <c r="A693" t="s">
        <v>725</v>
      </c>
      <c r="B693">
        <v>54</v>
      </c>
      <c r="C693" t="s">
        <v>21</v>
      </c>
      <c r="D693" t="s">
        <v>40</v>
      </c>
      <c r="E693" s="2">
        <v>45775</v>
      </c>
      <c r="F693" t="s">
        <v>23</v>
      </c>
      <c r="G693">
        <v>150</v>
      </c>
      <c r="H693">
        <v>1</v>
      </c>
      <c r="I693">
        <v>24.72</v>
      </c>
      <c r="J693">
        <v>34.06</v>
      </c>
      <c r="K693" t="s">
        <v>24</v>
      </c>
      <c r="L693">
        <v>9.1999999999999993</v>
      </c>
      <c r="M693">
        <v>8</v>
      </c>
      <c r="N693" t="s">
        <v>19</v>
      </c>
      <c r="O693">
        <f t="shared" si="20"/>
        <v>208.78</v>
      </c>
      <c r="P693" t="str">
        <f t="shared" si="21"/>
        <v>April</v>
      </c>
    </row>
    <row r="694" spans="1:16" x14ac:dyDescent="0.25">
      <c r="A694" t="s">
        <v>726</v>
      </c>
      <c r="B694">
        <v>55</v>
      </c>
      <c r="C694" t="s">
        <v>15</v>
      </c>
      <c r="D694" t="s">
        <v>33</v>
      </c>
      <c r="E694" s="2">
        <v>45892</v>
      </c>
      <c r="F694" t="s">
        <v>29</v>
      </c>
      <c r="G694">
        <v>100</v>
      </c>
      <c r="H694">
        <v>1</v>
      </c>
      <c r="I694">
        <v>40.79</v>
      </c>
      <c r="J694">
        <v>7.98</v>
      </c>
      <c r="K694" t="s">
        <v>18</v>
      </c>
      <c r="L694">
        <v>7.5</v>
      </c>
      <c r="M694">
        <v>10</v>
      </c>
      <c r="N694" t="s">
        <v>19</v>
      </c>
      <c r="O694">
        <f t="shared" si="20"/>
        <v>148.76999999999998</v>
      </c>
      <c r="P694" t="str">
        <f t="shared" si="21"/>
        <v>August</v>
      </c>
    </row>
    <row r="695" spans="1:16" x14ac:dyDescent="0.25">
      <c r="A695" t="s">
        <v>727</v>
      </c>
      <c r="B695">
        <v>36</v>
      </c>
      <c r="C695" t="s">
        <v>21</v>
      </c>
      <c r="D695" t="s">
        <v>16</v>
      </c>
      <c r="E695" s="2">
        <v>45697</v>
      </c>
      <c r="F695" t="s">
        <v>29</v>
      </c>
      <c r="G695">
        <v>100</v>
      </c>
      <c r="H695">
        <v>1</v>
      </c>
      <c r="I695">
        <v>51.62</v>
      </c>
      <c r="J695">
        <v>13.58</v>
      </c>
      <c r="K695" t="s">
        <v>18</v>
      </c>
      <c r="L695">
        <v>10</v>
      </c>
      <c r="M695">
        <v>10</v>
      </c>
      <c r="N695" t="s">
        <v>30</v>
      </c>
      <c r="O695">
        <f t="shared" si="20"/>
        <v>165.20000000000002</v>
      </c>
      <c r="P695" t="str">
        <f t="shared" si="21"/>
        <v>February</v>
      </c>
    </row>
    <row r="696" spans="1:16" x14ac:dyDescent="0.25">
      <c r="A696" t="s">
        <v>728</v>
      </c>
      <c r="B696">
        <v>25</v>
      </c>
      <c r="C696" t="s">
        <v>15</v>
      </c>
      <c r="D696" t="s">
        <v>52</v>
      </c>
      <c r="E696" s="2">
        <v>45821</v>
      </c>
      <c r="F696" t="s">
        <v>23</v>
      </c>
      <c r="G696">
        <v>150</v>
      </c>
      <c r="H696">
        <v>4</v>
      </c>
      <c r="I696">
        <v>99.49</v>
      </c>
      <c r="J696">
        <v>14.07</v>
      </c>
      <c r="K696" t="s">
        <v>18</v>
      </c>
      <c r="L696">
        <v>4.5</v>
      </c>
      <c r="M696">
        <v>9</v>
      </c>
      <c r="N696" t="s">
        <v>34</v>
      </c>
      <c r="O696">
        <f t="shared" si="20"/>
        <v>713.56000000000006</v>
      </c>
      <c r="P696" t="str">
        <f t="shared" si="21"/>
        <v>June</v>
      </c>
    </row>
    <row r="697" spans="1:16" x14ac:dyDescent="0.25">
      <c r="A697" t="s">
        <v>729</v>
      </c>
      <c r="B697">
        <v>65</v>
      </c>
      <c r="C697" t="s">
        <v>15</v>
      </c>
      <c r="D697" t="s">
        <v>16</v>
      </c>
      <c r="E697" s="2">
        <v>45729</v>
      </c>
      <c r="F697" t="s">
        <v>41</v>
      </c>
      <c r="G697">
        <v>60</v>
      </c>
      <c r="H697">
        <v>2</v>
      </c>
      <c r="I697">
        <v>38.96</v>
      </c>
      <c r="J697">
        <v>28.15</v>
      </c>
      <c r="K697" t="s">
        <v>18</v>
      </c>
      <c r="L697">
        <v>10</v>
      </c>
      <c r="M697">
        <v>7</v>
      </c>
      <c r="N697" t="s">
        <v>25</v>
      </c>
      <c r="O697">
        <f t="shared" si="20"/>
        <v>187.11</v>
      </c>
      <c r="P697" t="str">
        <f t="shared" si="21"/>
        <v>March</v>
      </c>
    </row>
    <row r="698" spans="1:16" x14ac:dyDescent="0.25">
      <c r="A698" t="s">
        <v>730</v>
      </c>
      <c r="B698">
        <v>62</v>
      </c>
      <c r="C698" t="s">
        <v>15</v>
      </c>
      <c r="D698" t="s">
        <v>16</v>
      </c>
      <c r="E698" s="2">
        <v>45734</v>
      </c>
      <c r="F698" t="s">
        <v>29</v>
      </c>
      <c r="G698">
        <v>100</v>
      </c>
      <c r="H698">
        <v>2</v>
      </c>
      <c r="I698">
        <v>23.43</v>
      </c>
      <c r="J698">
        <v>30.5</v>
      </c>
      <c r="K698" t="s">
        <v>24</v>
      </c>
      <c r="L698">
        <v>9.4</v>
      </c>
      <c r="M698">
        <v>8</v>
      </c>
      <c r="N698" t="s">
        <v>25</v>
      </c>
      <c r="O698">
        <f t="shared" si="20"/>
        <v>253.93</v>
      </c>
      <c r="P698" t="str">
        <f t="shared" si="21"/>
        <v>March</v>
      </c>
    </row>
    <row r="699" spans="1:16" x14ac:dyDescent="0.25">
      <c r="A699" t="s">
        <v>731</v>
      </c>
      <c r="B699">
        <v>18</v>
      </c>
      <c r="C699" t="s">
        <v>21</v>
      </c>
      <c r="D699" t="s">
        <v>16</v>
      </c>
      <c r="E699" s="2">
        <v>45868</v>
      </c>
      <c r="F699" t="s">
        <v>23</v>
      </c>
      <c r="G699">
        <v>150</v>
      </c>
      <c r="H699">
        <v>1</v>
      </c>
      <c r="I699">
        <v>16.25</v>
      </c>
      <c r="J699">
        <v>31.85</v>
      </c>
      <c r="K699" t="s">
        <v>18</v>
      </c>
      <c r="L699">
        <v>8.4</v>
      </c>
      <c r="M699">
        <v>8</v>
      </c>
      <c r="N699" t="s">
        <v>34</v>
      </c>
      <c r="O699">
        <f t="shared" si="20"/>
        <v>198.1</v>
      </c>
      <c r="P699" t="str">
        <f t="shared" si="21"/>
        <v>July</v>
      </c>
    </row>
    <row r="700" spans="1:16" x14ac:dyDescent="0.25">
      <c r="A700" t="s">
        <v>732</v>
      </c>
      <c r="B700">
        <v>39</v>
      </c>
      <c r="C700" t="s">
        <v>38</v>
      </c>
      <c r="D700" t="s">
        <v>52</v>
      </c>
      <c r="E700" s="2">
        <v>45673</v>
      </c>
      <c r="F700" t="s">
        <v>29</v>
      </c>
      <c r="G700">
        <v>100</v>
      </c>
      <c r="H700">
        <v>1</v>
      </c>
      <c r="I700">
        <v>103.6</v>
      </c>
      <c r="J700">
        <v>2.7</v>
      </c>
      <c r="K700" t="s">
        <v>18</v>
      </c>
      <c r="L700">
        <v>8.1</v>
      </c>
      <c r="M700">
        <v>8</v>
      </c>
      <c r="N700" t="s">
        <v>30</v>
      </c>
      <c r="O700">
        <f t="shared" si="20"/>
        <v>206.29999999999998</v>
      </c>
      <c r="P700" t="str">
        <f t="shared" si="21"/>
        <v>January</v>
      </c>
    </row>
    <row r="701" spans="1:16" x14ac:dyDescent="0.25">
      <c r="A701" t="s">
        <v>733</v>
      </c>
      <c r="B701">
        <v>69</v>
      </c>
      <c r="C701" t="s">
        <v>15</v>
      </c>
      <c r="D701" t="s">
        <v>33</v>
      </c>
      <c r="E701" s="2">
        <v>45711</v>
      </c>
      <c r="F701" t="s">
        <v>41</v>
      </c>
      <c r="G701">
        <v>60</v>
      </c>
      <c r="H701">
        <v>2</v>
      </c>
      <c r="I701">
        <v>75.099999999999994</v>
      </c>
      <c r="J701">
        <v>39.78</v>
      </c>
      <c r="K701" t="s">
        <v>18</v>
      </c>
      <c r="L701">
        <v>7.8</v>
      </c>
      <c r="M701">
        <v>6</v>
      </c>
      <c r="N701" t="s">
        <v>25</v>
      </c>
      <c r="O701">
        <f t="shared" si="20"/>
        <v>234.88</v>
      </c>
      <c r="P701" t="str">
        <f t="shared" si="21"/>
        <v>February</v>
      </c>
    </row>
    <row r="702" spans="1:16" x14ac:dyDescent="0.25">
      <c r="A702" t="s">
        <v>734</v>
      </c>
      <c r="B702">
        <v>34</v>
      </c>
      <c r="C702" t="s">
        <v>21</v>
      </c>
      <c r="D702" t="s">
        <v>22</v>
      </c>
      <c r="E702" s="2">
        <v>45853</v>
      </c>
      <c r="F702" t="s">
        <v>23</v>
      </c>
      <c r="G702">
        <v>150</v>
      </c>
      <c r="H702">
        <v>4</v>
      </c>
      <c r="I702">
        <v>36.130000000000003</v>
      </c>
      <c r="J702">
        <v>10.85</v>
      </c>
      <c r="K702" t="s">
        <v>24</v>
      </c>
      <c r="L702">
        <v>9.6999999999999993</v>
      </c>
      <c r="M702">
        <v>10</v>
      </c>
      <c r="N702" t="s">
        <v>30</v>
      </c>
      <c r="O702">
        <f t="shared" si="20"/>
        <v>646.98</v>
      </c>
      <c r="P702" t="str">
        <f t="shared" si="21"/>
        <v>July</v>
      </c>
    </row>
    <row r="703" spans="1:16" x14ac:dyDescent="0.25">
      <c r="A703" t="s">
        <v>735</v>
      </c>
      <c r="B703">
        <v>24</v>
      </c>
      <c r="C703" t="s">
        <v>21</v>
      </c>
      <c r="D703" t="s">
        <v>16</v>
      </c>
      <c r="E703" s="2">
        <v>45751</v>
      </c>
      <c r="F703" t="s">
        <v>41</v>
      </c>
      <c r="G703">
        <v>60</v>
      </c>
      <c r="H703">
        <v>3</v>
      </c>
      <c r="I703">
        <v>38.74</v>
      </c>
      <c r="J703">
        <v>7.56</v>
      </c>
      <c r="K703" t="s">
        <v>24</v>
      </c>
      <c r="L703">
        <v>7.9</v>
      </c>
      <c r="M703">
        <v>8</v>
      </c>
      <c r="N703" t="s">
        <v>34</v>
      </c>
      <c r="O703">
        <f t="shared" si="20"/>
        <v>226.3</v>
      </c>
      <c r="P703" t="str">
        <f t="shared" si="21"/>
        <v>April</v>
      </c>
    </row>
    <row r="704" spans="1:16" x14ac:dyDescent="0.25">
      <c r="A704" t="s">
        <v>736</v>
      </c>
      <c r="B704">
        <v>42</v>
      </c>
      <c r="C704" t="s">
        <v>21</v>
      </c>
      <c r="D704" t="s">
        <v>27</v>
      </c>
      <c r="E704" s="2">
        <v>45680</v>
      </c>
      <c r="F704" t="s">
        <v>23</v>
      </c>
      <c r="G704">
        <v>150</v>
      </c>
      <c r="H704">
        <v>3</v>
      </c>
      <c r="I704">
        <v>19.190000000000001</v>
      </c>
      <c r="J704">
        <v>30.22</v>
      </c>
      <c r="K704" t="s">
        <v>18</v>
      </c>
      <c r="L704">
        <v>6.9</v>
      </c>
      <c r="M704">
        <v>7</v>
      </c>
      <c r="N704" t="s">
        <v>19</v>
      </c>
      <c r="O704">
        <f t="shared" si="20"/>
        <v>499.40999999999997</v>
      </c>
      <c r="P704" t="str">
        <f t="shared" si="21"/>
        <v>January</v>
      </c>
    </row>
    <row r="705" spans="1:16" x14ac:dyDescent="0.25">
      <c r="A705" t="s">
        <v>737</v>
      </c>
      <c r="B705">
        <v>62</v>
      </c>
      <c r="C705" t="s">
        <v>15</v>
      </c>
      <c r="D705" t="s">
        <v>52</v>
      </c>
      <c r="E705" s="2">
        <v>45715</v>
      </c>
      <c r="F705" t="s">
        <v>41</v>
      </c>
      <c r="G705">
        <v>60</v>
      </c>
      <c r="H705">
        <v>2</v>
      </c>
      <c r="I705">
        <v>137.36850000000001</v>
      </c>
      <c r="J705">
        <v>45.65</v>
      </c>
      <c r="K705" t="s">
        <v>18</v>
      </c>
      <c r="L705">
        <v>9.4</v>
      </c>
      <c r="M705">
        <v>7</v>
      </c>
      <c r="N705" t="s">
        <v>25</v>
      </c>
      <c r="O705">
        <f t="shared" si="20"/>
        <v>303.01850000000002</v>
      </c>
      <c r="P705" t="str">
        <f t="shared" si="21"/>
        <v>February</v>
      </c>
    </row>
    <row r="706" spans="1:16" x14ac:dyDescent="0.25">
      <c r="A706" t="s">
        <v>738</v>
      </c>
      <c r="B706">
        <v>21</v>
      </c>
      <c r="C706" t="s">
        <v>21</v>
      </c>
      <c r="D706" t="s">
        <v>16</v>
      </c>
      <c r="E706" s="2">
        <v>45900</v>
      </c>
      <c r="F706" t="s">
        <v>41</v>
      </c>
      <c r="G706">
        <v>60</v>
      </c>
      <c r="H706">
        <v>1</v>
      </c>
      <c r="I706">
        <v>55.46</v>
      </c>
      <c r="J706">
        <v>35.25</v>
      </c>
      <c r="K706" t="s">
        <v>18</v>
      </c>
      <c r="L706">
        <v>10</v>
      </c>
      <c r="M706">
        <v>8</v>
      </c>
      <c r="N706" t="s">
        <v>34</v>
      </c>
      <c r="O706">
        <f t="shared" si="20"/>
        <v>150.71</v>
      </c>
      <c r="P706" t="str">
        <f t="shared" si="21"/>
        <v>August</v>
      </c>
    </row>
    <row r="707" spans="1:16" x14ac:dyDescent="0.25">
      <c r="A707" t="s">
        <v>739</v>
      </c>
      <c r="B707">
        <v>53</v>
      </c>
      <c r="C707" t="s">
        <v>21</v>
      </c>
      <c r="D707" t="s">
        <v>33</v>
      </c>
      <c r="E707" s="2">
        <v>45880</v>
      </c>
      <c r="F707" t="s">
        <v>23</v>
      </c>
      <c r="G707">
        <v>150</v>
      </c>
      <c r="H707">
        <v>1</v>
      </c>
      <c r="I707">
        <v>10.92</v>
      </c>
      <c r="J707">
        <v>22.11</v>
      </c>
      <c r="K707" t="s">
        <v>18</v>
      </c>
      <c r="L707">
        <v>5.0999999999999996</v>
      </c>
      <c r="M707">
        <v>6</v>
      </c>
      <c r="N707" t="s">
        <v>19</v>
      </c>
      <c r="O707">
        <f t="shared" ref="O707:O770" si="22">(G707*H707)+I707+J707</f>
        <v>183.02999999999997</v>
      </c>
      <c r="P707" t="str">
        <f t="shared" ref="P707:P770" si="23">TEXT(E707, "mmmm")</f>
        <v>August</v>
      </c>
    </row>
    <row r="708" spans="1:16" x14ac:dyDescent="0.25">
      <c r="A708" t="s">
        <v>740</v>
      </c>
      <c r="B708">
        <v>23</v>
      </c>
      <c r="C708" t="s">
        <v>15</v>
      </c>
      <c r="D708" t="s">
        <v>22</v>
      </c>
      <c r="E708" s="2">
        <v>45823</v>
      </c>
      <c r="F708" t="s">
        <v>23</v>
      </c>
      <c r="G708">
        <v>150</v>
      </c>
      <c r="H708">
        <v>4</v>
      </c>
      <c r="I708">
        <v>13.11</v>
      </c>
      <c r="J708">
        <v>27.24</v>
      </c>
      <c r="K708" t="s">
        <v>18</v>
      </c>
      <c r="L708">
        <v>10</v>
      </c>
      <c r="M708">
        <v>9</v>
      </c>
      <c r="N708" t="s">
        <v>34</v>
      </c>
      <c r="O708">
        <f t="shared" si="22"/>
        <v>640.35</v>
      </c>
      <c r="P708" t="str">
        <f t="shared" si="23"/>
        <v>June</v>
      </c>
    </row>
    <row r="709" spans="1:16" x14ac:dyDescent="0.25">
      <c r="A709" t="s">
        <v>741</v>
      </c>
      <c r="B709">
        <v>48</v>
      </c>
      <c r="C709" t="s">
        <v>15</v>
      </c>
      <c r="D709" t="s">
        <v>52</v>
      </c>
      <c r="E709" s="2">
        <v>45768</v>
      </c>
      <c r="F709" t="s">
        <v>41</v>
      </c>
      <c r="G709">
        <v>60</v>
      </c>
      <c r="H709">
        <v>3</v>
      </c>
      <c r="I709">
        <v>34.67</v>
      </c>
      <c r="J709">
        <v>6.11</v>
      </c>
      <c r="K709" t="s">
        <v>24</v>
      </c>
      <c r="L709">
        <v>6.4</v>
      </c>
      <c r="M709">
        <v>8</v>
      </c>
      <c r="N709" t="s">
        <v>19</v>
      </c>
      <c r="O709">
        <f t="shared" si="22"/>
        <v>220.78000000000003</v>
      </c>
      <c r="P709" t="str">
        <f t="shared" si="23"/>
        <v>April</v>
      </c>
    </row>
    <row r="710" spans="1:16" x14ac:dyDescent="0.25">
      <c r="A710" t="s">
        <v>742</v>
      </c>
      <c r="B710">
        <v>36</v>
      </c>
      <c r="C710" t="s">
        <v>21</v>
      </c>
      <c r="D710" t="s">
        <v>36</v>
      </c>
      <c r="E710" s="2">
        <v>45762</v>
      </c>
      <c r="F710" t="s">
        <v>29</v>
      </c>
      <c r="G710">
        <v>100</v>
      </c>
      <c r="H710">
        <v>4</v>
      </c>
      <c r="I710">
        <v>22.54</v>
      </c>
      <c r="J710">
        <v>6.07</v>
      </c>
      <c r="K710" t="s">
        <v>18</v>
      </c>
      <c r="L710">
        <v>6.6</v>
      </c>
      <c r="M710">
        <v>10</v>
      </c>
      <c r="N710" t="s">
        <v>30</v>
      </c>
      <c r="O710">
        <f t="shared" si="22"/>
        <v>428.61</v>
      </c>
      <c r="P710" t="str">
        <f t="shared" si="23"/>
        <v>April</v>
      </c>
    </row>
    <row r="711" spans="1:16" x14ac:dyDescent="0.25">
      <c r="A711" t="s">
        <v>743</v>
      </c>
      <c r="B711">
        <v>61</v>
      </c>
      <c r="C711" t="s">
        <v>38</v>
      </c>
      <c r="D711" t="s">
        <v>22</v>
      </c>
      <c r="E711" s="2">
        <v>45780</v>
      </c>
      <c r="F711" t="s">
        <v>41</v>
      </c>
      <c r="G711">
        <v>60</v>
      </c>
      <c r="H711">
        <v>3</v>
      </c>
      <c r="I711">
        <v>47.15</v>
      </c>
      <c r="J711">
        <v>46.159499999999987</v>
      </c>
      <c r="K711" t="s">
        <v>24</v>
      </c>
      <c r="L711">
        <v>6.1</v>
      </c>
      <c r="M711">
        <v>8</v>
      </c>
      <c r="N711" t="s">
        <v>25</v>
      </c>
      <c r="O711">
        <f t="shared" si="22"/>
        <v>273.30950000000001</v>
      </c>
      <c r="P711" t="str">
        <f t="shared" si="23"/>
        <v>May</v>
      </c>
    </row>
    <row r="712" spans="1:16" x14ac:dyDescent="0.25">
      <c r="A712" t="s">
        <v>744</v>
      </c>
      <c r="B712">
        <v>56</v>
      </c>
      <c r="C712" t="s">
        <v>15</v>
      </c>
      <c r="D712" t="s">
        <v>27</v>
      </c>
      <c r="E712" s="2">
        <v>45726</v>
      </c>
      <c r="F712" t="s">
        <v>17</v>
      </c>
      <c r="G712">
        <v>200</v>
      </c>
      <c r="H712">
        <v>2</v>
      </c>
      <c r="I712">
        <v>71.260000000000005</v>
      </c>
      <c r="J712">
        <v>16.649999999999999</v>
      </c>
      <c r="K712" t="s">
        <v>18</v>
      </c>
      <c r="L712">
        <v>8</v>
      </c>
      <c r="M712">
        <v>6</v>
      </c>
      <c r="N712" t="s">
        <v>19</v>
      </c>
      <c r="O712">
        <f t="shared" si="22"/>
        <v>487.90999999999997</v>
      </c>
      <c r="P712" t="str">
        <f t="shared" si="23"/>
        <v>March</v>
      </c>
    </row>
    <row r="713" spans="1:16" x14ac:dyDescent="0.25">
      <c r="A713" t="s">
        <v>745</v>
      </c>
      <c r="B713">
        <v>44</v>
      </c>
      <c r="C713" t="s">
        <v>21</v>
      </c>
      <c r="D713" t="s">
        <v>16</v>
      </c>
      <c r="E713" s="2">
        <v>45902</v>
      </c>
      <c r="F713" t="s">
        <v>41</v>
      </c>
      <c r="G713">
        <v>60</v>
      </c>
      <c r="H713">
        <v>3</v>
      </c>
      <c r="I713">
        <v>20.53</v>
      </c>
      <c r="J713">
        <v>10.8</v>
      </c>
      <c r="K713" t="s">
        <v>18</v>
      </c>
      <c r="L713">
        <v>6.1</v>
      </c>
      <c r="M713">
        <v>6</v>
      </c>
      <c r="N713" t="s">
        <v>19</v>
      </c>
      <c r="O713">
        <f t="shared" si="22"/>
        <v>211.33</v>
      </c>
      <c r="P713" t="str">
        <f t="shared" si="23"/>
        <v>September</v>
      </c>
    </row>
    <row r="714" spans="1:16" x14ac:dyDescent="0.25">
      <c r="A714" t="s">
        <v>746</v>
      </c>
      <c r="B714">
        <v>27</v>
      </c>
      <c r="C714" t="s">
        <v>38</v>
      </c>
      <c r="D714" t="s">
        <v>33</v>
      </c>
      <c r="E714" s="2">
        <v>45905</v>
      </c>
      <c r="F714" t="s">
        <v>41</v>
      </c>
      <c r="G714">
        <v>60</v>
      </c>
      <c r="H714">
        <v>4</v>
      </c>
      <c r="I714">
        <v>36.840000000000003</v>
      </c>
      <c r="J714">
        <v>7.33</v>
      </c>
      <c r="K714" t="s">
        <v>18</v>
      </c>
      <c r="L714">
        <v>6.3</v>
      </c>
      <c r="M714">
        <v>7</v>
      </c>
      <c r="N714" t="s">
        <v>34</v>
      </c>
      <c r="O714">
        <f t="shared" si="22"/>
        <v>284.17</v>
      </c>
      <c r="P714" t="str">
        <f t="shared" si="23"/>
        <v>September</v>
      </c>
    </row>
    <row r="715" spans="1:16" x14ac:dyDescent="0.25">
      <c r="A715" t="s">
        <v>747</v>
      </c>
      <c r="B715">
        <v>43</v>
      </c>
      <c r="C715" t="s">
        <v>21</v>
      </c>
      <c r="D715" t="s">
        <v>36</v>
      </c>
      <c r="E715" s="2">
        <v>45882</v>
      </c>
      <c r="F715" t="s">
        <v>41</v>
      </c>
      <c r="G715">
        <v>60</v>
      </c>
      <c r="H715">
        <v>4</v>
      </c>
      <c r="I715">
        <v>15.64</v>
      </c>
      <c r="J715">
        <v>28.56</v>
      </c>
      <c r="K715" t="s">
        <v>18</v>
      </c>
      <c r="L715">
        <v>7</v>
      </c>
      <c r="M715">
        <v>8</v>
      </c>
      <c r="N715" t="s">
        <v>19</v>
      </c>
      <c r="O715">
        <f t="shared" si="22"/>
        <v>284.2</v>
      </c>
      <c r="P715" t="str">
        <f t="shared" si="23"/>
        <v>August</v>
      </c>
    </row>
    <row r="716" spans="1:16" x14ac:dyDescent="0.25">
      <c r="A716" t="s">
        <v>748</v>
      </c>
      <c r="B716">
        <v>36</v>
      </c>
      <c r="C716" t="s">
        <v>38</v>
      </c>
      <c r="D716" t="s">
        <v>33</v>
      </c>
      <c r="E716" s="2">
        <v>45763</v>
      </c>
      <c r="F716" t="s">
        <v>17</v>
      </c>
      <c r="G716">
        <v>200</v>
      </c>
      <c r="H716">
        <v>4</v>
      </c>
      <c r="I716">
        <v>137.36850000000001</v>
      </c>
      <c r="J716">
        <v>27.52</v>
      </c>
      <c r="K716" t="s">
        <v>18</v>
      </c>
      <c r="L716">
        <v>8.1999999999999993</v>
      </c>
      <c r="M716">
        <v>7</v>
      </c>
      <c r="N716" t="s">
        <v>30</v>
      </c>
      <c r="O716">
        <f t="shared" si="22"/>
        <v>964.88850000000002</v>
      </c>
      <c r="P716" t="str">
        <f t="shared" si="23"/>
        <v>April</v>
      </c>
    </row>
    <row r="717" spans="1:16" x14ac:dyDescent="0.25">
      <c r="A717" t="s">
        <v>749</v>
      </c>
      <c r="B717">
        <v>56</v>
      </c>
      <c r="C717" t="s">
        <v>21</v>
      </c>
      <c r="D717" t="s">
        <v>36</v>
      </c>
      <c r="E717" s="2">
        <v>45898</v>
      </c>
      <c r="F717" t="s">
        <v>29</v>
      </c>
      <c r="G717">
        <v>100</v>
      </c>
      <c r="H717">
        <v>2</v>
      </c>
      <c r="I717">
        <v>71.2</v>
      </c>
      <c r="J717">
        <v>21.63</v>
      </c>
      <c r="K717" t="s">
        <v>18</v>
      </c>
      <c r="L717">
        <v>8.4</v>
      </c>
      <c r="M717">
        <v>8</v>
      </c>
      <c r="N717" t="s">
        <v>19</v>
      </c>
      <c r="O717">
        <f t="shared" si="22"/>
        <v>292.83</v>
      </c>
      <c r="P717" t="str">
        <f t="shared" si="23"/>
        <v>August</v>
      </c>
    </row>
    <row r="718" spans="1:16" x14ac:dyDescent="0.25">
      <c r="A718" t="s">
        <v>750</v>
      </c>
      <c r="B718">
        <v>20</v>
      </c>
      <c r="C718" t="s">
        <v>15</v>
      </c>
      <c r="D718" t="s">
        <v>52</v>
      </c>
      <c r="E718" s="2">
        <v>45715</v>
      </c>
      <c r="F718" t="s">
        <v>29</v>
      </c>
      <c r="G718">
        <v>100</v>
      </c>
      <c r="H718">
        <v>3</v>
      </c>
      <c r="I718">
        <v>73.650000000000006</v>
      </c>
      <c r="J718">
        <v>29.11</v>
      </c>
      <c r="K718" t="s">
        <v>18</v>
      </c>
      <c r="L718">
        <v>9.9</v>
      </c>
      <c r="M718">
        <v>7</v>
      </c>
      <c r="N718" t="s">
        <v>34</v>
      </c>
      <c r="O718">
        <f t="shared" si="22"/>
        <v>402.76</v>
      </c>
      <c r="P718" t="str">
        <f t="shared" si="23"/>
        <v>February</v>
      </c>
    </row>
    <row r="719" spans="1:16" x14ac:dyDescent="0.25">
      <c r="A719" t="s">
        <v>751</v>
      </c>
      <c r="B719">
        <v>62</v>
      </c>
      <c r="C719" t="s">
        <v>15</v>
      </c>
      <c r="D719" t="s">
        <v>36</v>
      </c>
      <c r="E719" s="2">
        <v>45795</v>
      </c>
      <c r="F719" t="s">
        <v>23</v>
      </c>
      <c r="G719">
        <v>150</v>
      </c>
      <c r="H719">
        <v>3</v>
      </c>
      <c r="I719">
        <v>67.28</v>
      </c>
      <c r="J719">
        <v>23.26</v>
      </c>
      <c r="K719" t="s">
        <v>18</v>
      </c>
      <c r="L719">
        <v>9.8000000000000007</v>
      </c>
      <c r="M719">
        <v>8</v>
      </c>
      <c r="N719" t="s">
        <v>25</v>
      </c>
      <c r="O719">
        <f t="shared" si="22"/>
        <v>540.54</v>
      </c>
      <c r="P719" t="str">
        <f t="shared" si="23"/>
        <v>May</v>
      </c>
    </row>
    <row r="720" spans="1:16" x14ac:dyDescent="0.25">
      <c r="A720" t="s">
        <v>752</v>
      </c>
      <c r="B720">
        <v>30</v>
      </c>
      <c r="C720" t="s">
        <v>15</v>
      </c>
      <c r="D720" t="s">
        <v>27</v>
      </c>
      <c r="E720" s="2">
        <v>45770</v>
      </c>
      <c r="F720" t="s">
        <v>29</v>
      </c>
      <c r="G720">
        <v>100</v>
      </c>
      <c r="H720">
        <v>4</v>
      </c>
      <c r="I720">
        <v>22.36</v>
      </c>
      <c r="J720">
        <v>13.44</v>
      </c>
      <c r="K720" t="s">
        <v>18</v>
      </c>
      <c r="L720">
        <v>9.5</v>
      </c>
      <c r="M720">
        <v>7</v>
      </c>
      <c r="N720" t="s">
        <v>30</v>
      </c>
      <c r="O720">
        <f t="shared" si="22"/>
        <v>435.8</v>
      </c>
      <c r="P720" t="str">
        <f t="shared" si="23"/>
        <v>April</v>
      </c>
    </row>
    <row r="721" spans="1:16" x14ac:dyDescent="0.25">
      <c r="A721" t="s">
        <v>753</v>
      </c>
      <c r="B721">
        <v>67</v>
      </c>
      <c r="C721" t="s">
        <v>21</v>
      </c>
      <c r="D721" t="s">
        <v>27</v>
      </c>
      <c r="E721" s="2">
        <v>45893</v>
      </c>
      <c r="F721" t="s">
        <v>17</v>
      </c>
      <c r="G721">
        <v>200</v>
      </c>
      <c r="H721">
        <v>3</v>
      </c>
      <c r="I721">
        <v>56.22</v>
      </c>
      <c r="J721">
        <v>3.95</v>
      </c>
      <c r="K721" t="s">
        <v>18</v>
      </c>
      <c r="L721">
        <v>7.6</v>
      </c>
      <c r="M721">
        <v>9</v>
      </c>
      <c r="N721" t="s">
        <v>25</v>
      </c>
      <c r="O721">
        <f t="shared" si="22"/>
        <v>660.17000000000007</v>
      </c>
      <c r="P721" t="str">
        <f t="shared" si="23"/>
        <v>August</v>
      </c>
    </row>
    <row r="722" spans="1:16" x14ac:dyDescent="0.25">
      <c r="A722" t="s">
        <v>754</v>
      </c>
      <c r="B722">
        <v>45</v>
      </c>
      <c r="C722" t="s">
        <v>21</v>
      </c>
      <c r="D722" t="s">
        <v>40</v>
      </c>
      <c r="E722" s="2">
        <v>45809</v>
      </c>
      <c r="F722" t="s">
        <v>41</v>
      </c>
      <c r="G722">
        <v>60</v>
      </c>
      <c r="H722">
        <v>1</v>
      </c>
      <c r="I722">
        <v>54.4</v>
      </c>
      <c r="J722">
        <v>38.61</v>
      </c>
      <c r="K722" t="s">
        <v>18</v>
      </c>
      <c r="L722">
        <v>5.2</v>
      </c>
      <c r="M722">
        <v>8</v>
      </c>
      <c r="N722" t="s">
        <v>19</v>
      </c>
      <c r="O722">
        <f t="shared" si="22"/>
        <v>153.01</v>
      </c>
      <c r="P722" t="str">
        <f t="shared" si="23"/>
        <v>June</v>
      </c>
    </row>
    <row r="723" spans="1:16" x14ac:dyDescent="0.25">
      <c r="A723" t="s">
        <v>755</v>
      </c>
      <c r="B723">
        <v>37</v>
      </c>
      <c r="C723" t="s">
        <v>15</v>
      </c>
      <c r="D723" t="s">
        <v>27</v>
      </c>
      <c r="E723" s="2">
        <v>45658</v>
      </c>
      <c r="F723" t="s">
        <v>29</v>
      </c>
      <c r="G723">
        <v>100</v>
      </c>
      <c r="H723">
        <v>1</v>
      </c>
      <c r="I723">
        <v>57.37</v>
      </c>
      <c r="J723">
        <v>28.15</v>
      </c>
      <c r="K723" t="s">
        <v>18</v>
      </c>
      <c r="L723">
        <v>5.2</v>
      </c>
      <c r="M723">
        <v>10</v>
      </c>
      <c r="N723" t="s">
        <v>30</v>
      </c>
      <c r="O723">
        <f t="shared" si="22"/>
        <v>185.52</v>
      </c>
      <c r="P723" t="str">
        <f t="shared" si="23"/>
        <v>January</v>
      </c>
    </row>
    <row r="724" spans="1:16" x14ac:dyDescent="0.25">
      <c r="A724" t="s">
        <v>756</v>
      </c>
      <c r="B724">
        <v>45</v>
      </c>
      <c r="C724" t="s">
        <v>21</v>
      </c>
      <c r="D724" t="s">
        <v>22</v>
      </c>
      <c r="E724" s="2">
        <v>45736</v>
      </c>
      <c r="F724" t="s">
        <v>17</v>
      </c>
      <c r="G724">
        <v>200</v>
      </c>
      <c r="H724">
        <v>1</v>
      </c>
      <c r="I724">
        <v>25.99</v>
      </c>
      <c r="J724">
        <v>30.11</v>
      </c>
      <c r="K724" t="s">
        <v>18</v>
      </c>
      <c r="L724">
        <v>9.5</v>
      </c>
      <c r="M724">
        <v>9</v>
      </c>
      <c r="N724" t="s">
        <v>19</v>
      </c>
      <c r="O724">
        <f t="shared" si="22"/>
        <v>256.10000000000002</v>
      </c>
      <c r="P724" t="str">
        <f t="shared" si="23"/>
        <v>March</v>
      </c>
    </row>
    <row r="725" spans="1:16" x14ac:dyDescent="0.25">
      <c r="A725" t="s">
        <v>757</v>
      </c>
      <c r="B725">
        <v>25</v>
      </c>
      <c r="C725" t="s">
        <v>21</v>
      </c>
      <c r="D725" t="s">
        <v>36</v>
      </c>
      <c r="E725" s="2">
        <v>45763</v>
      </c>
      <c r="F725" t="s">
        <v>29</v>
      </c>
      <c r="G725">
        <v>100</v>
      </c>
      <c r="H725">
        <v>3</v>
      </c>
      <c r="I725">
        <v>27.48</v>
      </c>
      <c r="J725">
        <v>31.7</v>
      </c>
      <c r="K725" t="s">
        <v>18</v>
      </c>
      <c r="L725">
        <v>9.3000000000000007</v>
      </c>
      <c r="M725">
        <v>8</v>
      </c>
      <c r="N725" t="s">
        <v>34</v>
      </c>
      <c r="O725">
        <f t="shared" si="22"/>
        <v>359.18</v>
      </c>
      <c r="P725" t="str">
        <f t="shared" si="23"/>
        <v>April</v>
      </c>
    </row>
    <row r="726" spans="1:16" x14ac:dyDescent="0.25">
      <c r="A726" t="s">
        <v>758</v>
      </c>
      <c r="B726">
        <v>58</v>
      </c>
      <c r="C726" t="s">
        <v>21</v>
      </c>
      <c r="D726" t="s">
        <v>27</v>
      </c>
      <c r="E726" s="2">
        <v>45875</v>
      </c>
      <c r="F726" t="s">
        <v>29</v>
      </c>
      <c r="G726">
        <v>100</v>
      </c>
      <c r="H726">
        <v>2</v>
      </c>
      <c r="I726">
        <v>92.57</v>
      </c>
      <c r="J726">
        <v>22.36</v>
      </c>
      <c r="K726" t="s">
        <v>24</v>
      </c>
      <c r="L726">
        <v>7.1</v>
      </c>
      <c r="M726">
        <v>8</v>
      </c>
      <c r="N726" t="s">
        <v>19</v>
      </c>
      <c r="O726">
        <f t="shared" si="22"/>
        <v>314.93</v>
      </c>
      <c r="P726" t="str">
        <f t="shared" si="23"/>
        <v>August</v>
      </c>
    </row>
    <row r="727" spans="1:16" x14ac:dyDescent="0.25">
      <c r="A727" t="s">
        <v>759</v>
      </c>
      <c r="B727">
        <v>56</v>
      </c>
      <c r="C727" t="s">
        <v>21</v>
      </c>
      <c r="D727" t="s">
        <v>52</v>
      </c>
      <c r="E727" s="2">
        <v>45731</v>
      </c>
      <c r="F727" t="s">
        <v>17</v>
      </c>
      <c r="G727">
        <v>200</v>
      </c>
      <c r="H727">
        <v>2</v>
      </c>
      <c r="I727">
        <v>35.14</v>
      </c>
      <c r="J727">
        <v>15.66</v>
      </c>
      <c r="K727" t="s">
        <v>24</v>
      </c>
      <c r="L727">
        <v>5.8</v>
      </c>
      <c r="M727">
        <v>6</v>
      </c>
      <c r="N727" t="s">
        <v>19</v>
      </c>
      <c r="O727">
        <f t="shared" si="22"/>
        <v>450.8</v>
      </c>
      <c r="P727" t="str">
        <f t="shared" si="23"/>
        <v>March</v>
      </c>
    </row>
    <row r="728" spans="1:16" x14ac:dyDescent="0.25">
      <c r="A728" t="s">
        <v>760</v>
      </c>
      <c r="B728">
        <v>18</v>
      </c>
      <c r="C728" t="s">
        <v>21</v>
      </c>
      <c r="D728" t="s">
        <v>33</v>
      </c>
      <c r="E728" s="2">
        <v>45878</v>
      </c>
      <c r="F728" t="s">
        <v>41</v>
      </c>
      <c r="G728">
        <v>60</v>
      </c>
      <c r="H728">
        <v>2</v>
      </c>
      <c r="I728">
        <v>92.59</v>
      </c>
      <c r="J728">
        <v>38.729999999999997</v>
      </c>
      <c r="K728" t="s">
        <v>18</v>
      </c>
      <c r="L728">
        <v>6.4</v>
      </c>
      <c r="M728">
        <v>10</v>
      </c>
      <c r="N728" t="s">
        <v>34</v>
      </c>
      <c r="O728">
        <f t="shared" si="22"/>
        <v>251.32</v>
      </c>
      <c r="P728" t="str">
        <f t="shared" si="23"/>
        <v>August</v>
      </c>
    </row>
    <row r="729" spans="1:16" x14ac:dyDescent="0.25">
      <c r="A729" t="s">
        <v>761</v>
      </c>
      <c r="B729">
        <v>20</v>
      </c>
      <c r="C729" t="s">
        <v>15</v>
      </c>
      <c r="D729" t="s">
        <v>33</v>
      </c>
      <c r="E729" s="2">
        <v>45846</v>
      </c>
      <c r="F729" t="s">
        <v>41</v>
      </c>
      <c r="G729">
        <v>60</v>
      </c>
      <c r="H729">
        <v>2</v>
      </c>
      <c r="I729">
        <v>26.15</v>
      </c>
      <c r="J729">
        <v>16.3</v>
      </c>
      <c r="K729" t="s">
        <v>18</v>
      </c>
      <c r="L729">
        <v>8.3000000000000007</v>
      </c>
      <c r="M729">
        <v>7</v>
      </c>
      <c r="N729" t="s">
        <v>34</v>
      </c>
      <c r="O729">
        <f t="shared" si="22"/>
        <v>162.45000000000002</v>
      </c>
      <c r="P729" t="str">
        <f t="shared" si="23"/>
        <v>July</v>
      </c>
    </row>
    <row r="730" spans="1:16" x14ac:dyDescent="0.25">
      <c r="A730" t="s">
        <v>762</v>
      </c>
      <c r="B730">
        <v>30</v>
      </c>
      <c r="C730" t="s">
        <v>15</v>
      </c>
      <c r="D730" t="s">
        <v>40</v>
      </c>
      <c r="E730" s="2">
        <v>45689</v>
      </c>
      <c r="F730" t="s">
        <v>29</v>
      </c>
      <c r="G730">
        <v>100</v>
      </c>
      <c r="H730">
        <v>1</v>
      </c>
      <c r="I730">
        <v>25.25</v>
      </c>
      <c r="J730">
        <v>18.97</v>
      </c>
      <c r="K730" t="s">
        <v>18</v>
      </c>
      <c r="L730">
        <v>8.3000000000000007</v>
      </c>
      <c r="M730">
        <v>8</v>
      </c>
      <c r="N730" t="s">
        <v>30</v>
      </c>
      <c r="O730">
        <f t="shared" si="22"/>
        <v>144.22</v>
      </c>
      <c r="P730" t="str">
        <f t="shared" si="23"/>
        <v>February</v>
      </c>
    </row>
    <row r="731" spans="1:16" x14ac:dyDescent="0.25">
      <c r="A731" t="s">
        <v>763</v>
      </c>
      <c r="B731">
        <v>45</v>
      </c>
      <c r="C731" t="s">
        <v>15</v>
      </c>
      <c r="D731" t="s">
        <v>33</v>
      </c>
      <c r="E731" s="2">
        <v>45832</v>
      </c>
      <c r="F731" t="s">
        <v>17</v>
      </c>
      <c r="G731">
        <v>200</v>
      </c>
      <c r="H731">
        <v>1</v>
      </c>
      <c r="I731">
        <v>24.21</v>
      </c>
      <c r="J731">
        <v>12.44</v>
      </c>
      <c r="K731" t="s">
        <v>24</v>
      </c>
      <c r="L731">
        <v>9.6</v>
      </c>
      <c r="M731">
        <v>9</v>
      </c>
      <c r="N731" t="s">
        <v>19</v>
      </c>
      <c r="O731">
        <f t="shared" si="22"/>
        <v>236.65</v>
      </c>
      <c r="P731" t="str">
        <f t="shared" si="23"/>
        <v>June</v>
      </c>
    </row>
    <row r="732" spans="1:16" x14ac:dyDescent="0.25">
      <c r="A732" t="s">
        <v>764</v>
      </c>
      <c r="B732">
        <v>66</v>
      </c>
      <c r="C732" t="s">
        <v>15</v>
      </c>
      <c r="D732" t="s">
        <v>36</v>
      </c>
      <c r="E732" s="2">
        <v>45664</v>
      </c>
      <c r="F732" t="s">
        <v>41</v>
      </c>
      <c r="G732">
        <v>60</v>
      </c>
      <c r="H732">
        <v>4</v>
      </c>
      <c r="I732">
        <v>45.89</v>
      </c>
      <c r="J732">
        <v>32.369999999999997</v>
      </c>
      <c r="K732" t="s">
        <v>18</v>
      </c>
      <c r="L732">
        <v>7.3</v>
      </c>
      <c r="M732">
        <v>8</v>
      </c>
      <c r="N732" t="s">
        <v>25</v>
      </c>
      <c r="O732">
        <f t="shared" si="22"/>
        <v>318.26</v>
      </c>
      <c r="P732" t="str">
        <f t="shared" si="23"/>
        <v>January</v>
      </c>
    </row>
    <row r="733" spans="1:16" x14ac:dyDescent="0.25">
      <c r="A733" t="s">
        <v>765</v>
      </c>
      <c r="B733">
        <v>42</v>
      </c>
      <c r="C733" t="s">
        <v>21</v>
      </c>
      <c r="D733" t="s">
        <v>40</v>
      </c>
      <c r="E733" s="2">
        <v>45877</v>
      </c>
      <c r="F733" t="s">
        <v>29</v>
      </c>
      <c r="G733">
        <v>100</v>
      </c>
      <c r="H733">
        <v>3</v>
      </c>
      <c r="I733">
        <v>96.4</v>
      </c>
      <c r="J733">
        <v>14.95</v>
      </c>
      <c r="K733" t="s">
        <v>18</v>
      </c>
      <c r="L733">
        <v>7.6</v>
      </c>
      <c r="M733">
        <v>10</v>
      </c>
      <c r="N733" t="s">
        <v>19</v>
      </c>
      <c r="O733">
        <f t="shared" si="22"/>
        <v>411.34999999999997</v>
      </c>
      <c r="P733" t="str">
        <f t="shared" si="23"/>
        <v>August</v>
      </c>
    </row>
    <row r="734" spans="1:16" x14ac:dyDescent="0.25">
      <c r="A734" t="s">
        <v>766</v>
      </c>
      <c r="B734">
        <v>50</v>
      </c>
      <c r="C734" t="s">
        <v>21</v>
      </c>
      <c r="D734" t="s">
        <v>36</v>
      </c>
      <c r="E734" s="2">
        <v>45797</v>
      </c>
      <c r="F734" t="s">
        <v>23</v>
      </c>
      <c r="G734">
        <v>150</v>
      </c>
      <c r="H734">
        <v>3</v>
      </c>
      <c r="I734">
        <v>27.38</v>
      </c>
      <c r="J734">
        <v>24.81</v>
      </c>
      <c r="K734" t="s">
        <v>24</v>
      </c>
      <c r="L734">
        <v>9.6999999999999993</v>
      </c>
      <c r="M734">
        <v>6</v>
      </c>
      <c r="N734" t="s">
        <v>19</v>
      </c>
      <c r="O734">
        <f t="shared" si="22"/>
        <v>502.19</v>
      </c>
      <c r="P734" t="str">
        <f t="shared" si="23"/>
        <v>May</v>
      </c>
    </row>
    <row r="735" spans="1:16" x14ac:dyDescent="0.25">
      <c r="A735" t="s">
        <v>767</v>
      </c>
      <c r="B735">
        <v>55</v>
      </c>
      <c r="C735" t="s">
        <v>15</v>
      </c>
      <c r="D735" t="s">
        <v>52</v>
      </c>
      <c r="E735" s="2">
        <v>45850</v>
      </c>
      <c r="F735" t="s">
        <v>29</v>
      </c>
      <c r="G735">
        <v>100</v>
      </c>
      <c r="H735">
        <v>2</v>
      </c>
      <c r="I735">
        <v>25.96</v>
      </c>
      <c r="J735">
        <v>17.04</v>
      </c>
      <c r="K735" t="s">
        <v>18</v>
      </c>
      <c r="L735">
        <v>4.8</v>
      </c>
      <c r="M735">
        <v>10</v>
      </c>
      <c r="N735" t="s">
        <v>19</v>
      </c>
      <c r="O735">
        <f t="shared" si="22"/>
        <v>243</v>
      </c>
      <c r="P735" t="str">
        <f t="shared" si="23"/>
        <v>July</v>
      </c>
    </row>
    <row r="736" spans="1:16" x14ac:dyDescent="0.25">
      <c r="A736" t="s">
        <v>768</v>
      </c>
      <c r="B736">
        <v>23</v>
      </c>
      <c r="C736" t="s">
        <v>21</v>
      </c>
      <c r="D736" t="s">
        <v>40</v>
      </c>
      <c r="E736" s="2">
        <v>45713</v>
      </c>
      <c r="F736" t="s">
        <v>29</v>
      </c>
      <c r="G736">
        <v>100</v>
      </c>
      <c r="H736">
        <v>1</v>
      </c>
      <c r="I736">
        <v>57.21</v>
      </c>
      <c r="J736">
        <v>5.0199999999999996</v>
      </c>
      <c r="K736" t="s">
        <v>18</v>
      </c>
      <c r="L736">
        <v>8.5</v>
      </c>
      <c r="M736">
        <v>9</v>
      </c>
      <c r="N736" t="s">
        <v>34</v>
      </c>
      <c r="O736">
        <f t="shared" si="22"/>
        <v>162.23000000000002</v>
      </c>
      <c r="P736" t="str">
        <f t="shared" si="23"/>
        <v>February</v>
      </c>
    </row>
    <row r="737" spans="1:16" x14ac:dyDescent="0.25">
      <c r="A737" t="s">
        <v>769</v>
      </c>
      <c r="B737">
        <v>61</v>
      </c>
      <c r="C737" t="s">
        <v>15</v>
      </c>
      <c r="D737" t="s">
        <v>16</v>
      </c>
      <c r="E737" s="2">
        <v>45833</v>
      </c>
      <c r="F737" t="s">
        <v>29</v>
      </c>
      <c r="G737">
        <v>100</v>
      </c>
      <c r="H737">
        <v>2</v>
      </c>
      <c r="I737">
        <v>12.97</v>
      </c>
      <c r="J737">
        <v>32.159999999999997</v>
      </c>
      <c r="K737" t="s">
        <v>18</v>
      </c>
      <c r="L737">
        <v>7.5</v>
      </c>
      <c r="M737">
        <v>8</v>
      </c>
      <c r="N737" t="s">
        <v>25</v>
      </c>
      <c r="O737">
        <f t="shared" si="22"/>
        <v>245.13</v>
      </c>
      <c r="P737" t="str">
        <f t="shared" si="23"/>
        <v>June</v>
      </c>
    </row>
    <row r="738" spans="1:16" x14ac:dyDescent="0.25">
      <c r="A738" t="s">
        <v>770</v>
      </c>
      <c r="B738">
        <v>62</v>
      </c>
      <c r="C738" t="s">
        <v>38</v>
      </c>
      <c r="D738" t="s">
        <v>22</v>
      </c>
      <c r="E738" s="2">
        <v>45877</v>
      </c>
      <c r="F738" t="s">
        <v>29</v>
      </c>
      <c r="G738">
        <v>100</v>
      </c>
      <c r="H738">
        <v>4</v>
      </c>
      <c r="I738">
        <v>99.98</v>
      </c>
      <c r="J738">
        <v>25.94</v>
      </c>
      <c r="K738" t="s">
        <v>18</v>
      </c>
      <c r="L738">
        <v>9.1</v>
      </c>
      <c r="M738">
        <v>8</v>
      </c>
      <c r="N738" t="s">
        <v>25</v>
      </c>
      <c r="O738">
        <f t="shared" si="22"/>
        <v>525.92000000000007</v>
      </c>
      <c r="P738" t="str">
        <f t="shared" si="23"/>
        <v>August</v>
      </c>
    </row>
    <row r="739" spans="1:16" x14ac:dyDescent="0.25">
      <c r="A739" t="s">
        <v>771</v>
      </c>
      <c r="B739">
        <v>49</v>
      </c>
      <c r="C739" t="s">
        <v>38</v>
      </c>
      <c r="D739" t="s">
        <v>22</v>
      </c>
      <c r="E739" s="2">
        <v>45866</v>
      </c>
      <c r="F739" t="s">
        <v>29</v>
      </c>
      <c r="G739">
        <v>100</v>
      </c>
      <c r="H739">
        <v>3</v>
      </c>
      <c r="I739">
        <v>47.65</v>
      </c>
      <c r="J739">
        <v>13.99</v>
      </c>
      <c r="K739" t="s">
        <v>24</v>
      </c>
      <c r="L739">
        <v>8.8000000000000007</v>
      </c>
      <c r="M739">
        <v>5</v>
      </c>
      <c r="N739" t="s">
        <v>19</v>
      </c>
      <c r="O739">
        <f t="shared" si="22"/>
        <v>361.64</v>
      </c>
      <c r="P739" t="str">
        <f t="shared" si="23"/>
        <v>July</v>
      </c>
    </row>
    <row r="740" spans="1:16" x14ac:dyDescent="0.25">
      <c r="A740" t="s">
        <v>772</v>
      </c>
      <c r="B740">
        <v>62</v>
      </c>
      <c r="C740" t="s">
        <v>15</v>
      </c>
      <c r="D740" t="s">
        <v>36</v>
      </c>
      <c r="E740" s="2">
        <v>45694</v>
      </c>
      <c r="F740" t="s">
        <v>41</v>
      </c>
      <c r="G740">
        <v>60</v>
      </c>
      <c r="H740">
        <v>3</v>
      </c>
      <c r="I740">
        <v>48.38</v>
      </c>
      <c r="J740">
        <v>21.84</v>
      </c>
      <c r="K740" t="s">
        <v>24</v>
      </c>
      <c r="L740">
        <v>7</v>
      </c>
      <c r="M740">
        <v>7</v>
      </c>
      <c r="N740" t="s">
        <v>25</v>
      </c>
      <c r="O740">
        <f t="shared" si="22"/>
        <v>250.22</v>
      </c>
      <c r="P740" t="str">
        <f t="shared" si="23"/>
        <v>February</v>
      </c>
    </row>
    <row r="741" spans="1:16" x14ac:dyDescent="0.25">
      <c r="A741" t="s">
        <v>773</v>
      </c>
      <c r="B741">
        <v>64</v>
      </c>
      <c r="C741" t="s">
        <v>21</v>
      </c>
      <c r="D741" t="s">
        <v>33</v>
      </c>
      <c r="E741" s="2">
        <v>45667</v>
      </c>
      <c r="F741" t="s">
        <v>23</v>
      </c>
      <c r="G741">
        <v>150</v>
      </c>
      <c r="H741">
        <v>2</v>
      </c>
      <c r="I741">
        <v>105.64</v>
      </c>
      <c r="J741">
        <v>33.049999999999997</v>
      </c>
      <c r="K741" t="s">
        <v>18</v>
      </c>
      <c r="L741">
        <v>7.2</v>
      </c>
      <c r="M741">
        <v>8</v>
      </c>
      <c r="N741" t="s">
        <v>25</v>
      </c>
      <c r="O741">
        <f t="shared" si="22"/>
        <v>438.69</v>
      </c>
      <c r="P741" t="str">
        <f t="shared" si="23"/>
        <v>January</v>
      </c>
    </row>
    <row r="742" spans="1:16" x14ac:dyDescent="0.25">
      <c r="A742" t="s">
        <v>774</v>
      </c>
      <c r="B742">
        <v>38</v>
      </c>
      <c r="C742" t="s">
        <v>15</v>
      </c>
      <c r="D742" t="s">
        <v>16</v>
      </c>
      <c r="E742" s="2">
        <v>45667</v>
      </c>
      <c r="F742" t="s">
        <v>41</v>
      </c>
      <c r="G742">
        <v>60</v>
      </c>
      <c r="H742">
        <v>4</v>
      </c>
      <c r="I742">
        <v>127.91</v>
      </c>
      <c r="J742">
        <v>46.159499999999987</v>
      </c>
      <c r="K742" t="s">
        <v>18</v>
      </c>
      <c r="L742">
        <v>4.5</v>
      </c>
      <c r="M742">
        <v>8</v>
      </c>
      <c r="N742" t="s">
        <v>30</v>
      </c>
      <c r="O742">
        <f t="shared" si="22"/>
        <v>414.06949999999995</v>
      </c>
      <c r="P742" t="str">
        <f t="shared" si="23"/>
        <v>January</v>
      </c>
    </row>
    <row r="743" spans="1:16" x14ac:dyDescent="0.25">
      <c r="A743" t="s">
        <v>775</v>
      </c>
      <c r="B743">
        <v>33</v>
      </c>
      <c r="C743" t="s">
        <v>21</v>
      </c>
      <c r="D743" t="s">
        <v>40</v>
      </c>
      <c r="E743" s="2">
        <v>45744</v>
      </c>
      <c r="F743" t="s">
        <v>41</v>
      </c>
      <c r="G743">
        <v>60</v>
      </c>
      <c r="H743">
        <v>3</v>
      </c>
      <c r="I743">
        <v>41.62</v>
      </c>
      <c r="J743">
        <v>20.32</v>
      </c>
      <c r="K743" t="s">
        <v>18</v>
      </c>
      <c r="L743">
        <v>9.1</v>
      </c>
      <c r="M743">
        <v>10</v>
      </c>
      <c r="N743" t="s">
        <v>30</v>
      </c>
      <c r="O743">
        <f t="shared" si="22"/>
        <v>241.94</v>
      </c>
      <c r="P743" t="str">
        <f t="shared" si="23"/>
        <v>March</v>
      </c>
    </row>
    <row r="744" spans="1:16" x14ac:dyDescent="0.25">
      <c r="A744" t="s">
        <v>776</v>
      </c>
      <c r="B744">
        <v>38</v>
      </c>
      <c r="C744" t="s">
        <v>21</v>
      </c>
      <c r="D744" t="s">
        <v>16</v>
      </c>
      <c r="E744" s="2">
        <v>45778</v>
      </c>
      <c r="F744" t="s">
        <v>29</v>
      </c>
      <c r="G744">
        <v>100</v>
      </c>
      <c r="H744">
        <v>4</v>
      </c>
      <c r="I744">
        <v>25.83</v>
      </c>
      <c r="J744">
        <v>17.84</v>
      </c>
      <c r="K744" t="s">
        <v>18</v>
      </c>
      <c r="L744">
        <v>8.4</v>
      </c>
      <c r="M744">
        <v>10</v>
      </c>
      <c r="N744" t="s">
        <v>30</v>
      </c>
      <c r="O744">
        <f t="shared" si="22"/>
        <v>443.66999999999996</v>
      </c>
      <c r="P744" t="str">
        <f t="shared" si="23"/>
        <v>May</v>
      </c>
    </row>
    <row r="745" spans="1:16" x14ac:dyDescent="0.25">
      <c r="A745" t="s">
        <v>777</v>
      </c>
      <c r="B745">
        <v>28</v>
      </c>
      <c r="C745" t="s">
        <v>15</v>
      </c>
      <c r="D745" t="s">
        <v>16</v>
      </c>
      <c r="E745" s="2">
        <v>45682</v>
      </c>
      <c r="F745" t="s">
        <v>29</v>
      </c>
      <c r="G745">
        <v>100</v>
      </c>
      <c r="H745">
        <v>4</v>
      </c>
      <c r="I745">
        <v>35.049999999999997</v>
      </c>
      <c r="J745">
        <v>19.84</v>
      </c>
      <c r="K745" t="s">
        <v>18</v>
      </c>
      <c r="L745">
        <v>10</v>
      </c>
      <c r="M745">
        <v>8</v>
      </c>
      <c r="N745" t="s">
        <v>34</v>
      </c>
      <c r="O745">
        <f t="shared" si="22"/>
        <v>454.89</v>
      </c>
      <c r="P745" t="str">
        <f t="shared" si="23"/>
        <v>January</v>
      </c>
    </row>
    <row r="746" spans="1:16" x14ac:dyDescent="0.25">
      <c r="A746" t="s">
        <v>778</v>
      </c>
      <c r="B746">
        <v>54</v>
      </c>
      <c r="C746" t="s">
        <v>21</v>
      </c>
      <c r="D746" t="s">
        <v>33</v>
      </c>
      <c r="E746" s="2">
        <v>45679</v>
      </c>
      <c r="F746" t="s">
        <v>29</v>
      </c>
      <c r="G746">
        <v>100</v>
      </c>
      <c r="H746">
        <v>2</v>
      </c>
      <c r="I746">
        <v>25.19</v>
      </c>
      <c r="J746">
        <v>12.66</v>
      </c>
      <c r="K746" t="s">
        <v>18</v>
      </c>
      <c r="L746">
        <v>7.4</v>
      </c>
      <c r="M746">
        <v>8</v>
      </c>
      <c r="N746" t="s">
        <v>19</v>
      </c>
      <c r="O746">
        <f t="shared" si="22"/>
        <v>237.85</v>
      </c>
      <c r="P746" t="str">
        <f t="shared" si="23"/>
        <v>January</v>
      </c>
    </row>
    <row r="747" spans="1:16" x14ac:dyDescent="0.25">
      <c r="A747" t="s">
        <v>779</v>
      </c>
      <c r="B747">
        <v>53</v>
      </c>
      <c r="C747" t="s">
        <v>15</v>
      </c>
      <c r="D747" t="s">
        <v>40</v>
      </c>
      <c r="E747" s="2">
        <v>45793</v>
      </c>
      <c r="F747" t="s">
        <v>29</v>
      </c>
      <c r="G747">
        <v>100</v>
      </c>
      <c r="H747">
        <v>1</v>
      </c>
      <c r="I747">
        <v>18.760000000000002</v>
      </c>
      <c r="J747">
        <v>19.239999999999998</v>
      </c>
      <c r="K747" t="s">
        <v>18</v>
      </c>
      <c r="L747">
        <v>9.4</v>
      </c>
      <c r="M747">
        <v>7</v>
      </c>
      <c r="N747" t="s">
        <v>19</v>
      </c>
      <c r="O747">
        <f t="shared" si="22"/>
        <v>138</v>
      </c>
      <c r="P747" t="str">
        <f t="shared" si="23"/>
        <v>May</v>
      </c>
    </row>
    <row r="748" spans="1:16" x14ac:dyDescent="0.25">
      <c r="A748" t="s">
        <v>780</v>
      </c>
      <c r="B748">
        <v>52</v>
      </c>
      <c r="C748" t="s">
        <v>15</v>
      </c>
      <c r="D748" t="s">
        <v>52</v>
      </c>
      <c r="E748" s="2">
        <v>45851</v>
      </c>
      <c r="F748" t="s">
        <v>41</v>
      </c>
      <c r="G748">
        <v>60</v>
      </c>
      <c r="H748">
        <v>2</v>
      </c>
      <c r="I748">
        <v>16.39</v>
      </c>
      <c r="J748">
        <v>11.81</v>
      </c>
      <c r="K748" t="s">
        <v>18</v>
      </c>
      <c r="L748">
        <v>6.4</v>
      </c>
      <c r="M748">
        <v>5</v>
      </c>
      <c r="N748" t="s">
        <v>19</v>
      </c>
      <c r="O748">
        <f t="shared" si="22"/>
        <v>148.19999999999999</v>
      </c>
      <c r="P748" t="str">
        <f t="shared" si="23"/>
        <v>July</v>
      </c>
    </row>
    <row r="749" spans="1:16" x14ac:dyDescent="0.25">
      <c r="A749" t="s">
        <v>781</v>
      </c>
      <c r="B749">
        <v>36</v>
      </c>
      <c r="C749" t="s">
        <v>21</v>
      </c>
      <c r="D749" t="s">
        <v>33</v>
      </c>
      <c r="E749" s="2">
        <v>45782</v>
      </c>
      <c r="F749" t="s">
        <v>29</v>
      </c>
      <c r="G749">
        <v>100</v>
      </c>
      <c r="H749">
        <v>1</v>
      </c>
      <c r="I749">
        <v>36.549999999999997</v>
      </c>
      <c r="J749">
        <v>13.17</v>
      </c>
      <c r="K749" t="s">
        <v>18</v>
      </c>
      <c r="L749">
        <v>3.9</v>
      </c>
      <c r="M749">
        <v>7</v>
      </c>
      <c r="N749" t="s">
        <v>30</v>
      </c>
      <c r="O749">
        <f t="shared" si="22"/>
        <v>149.72</v>
      </c>
      <c r="P749" t="str">
        <f t="shared" si="23"/>
        <v>May</v>
      </c>
    </row>
    <row r="750" spans="1:16" x14ac:dyDescent="0.25">
      <c r="A750" t="s">
        <v>782</v>
      </c>
      <c r="B750">
        <v>37</v>
      </c>
      <c r="C750" t="s">
        <v>15</v>
      </c>
      <c r="D750" t="s">
        <v>16</v>
      </c>
      <c r="E750" s="2">
        <v>45804</v>
      </c>
      <c r="F750" t="s">
        <v>41</v>
      </c>
      <c r="G750">
        <v>60</v>
      </c>
      <c r="H750">
        <v>4</v>
      </c>
      <c r="I750">
        <v>73.05</v>
      </c>
      <c r="J750">
        <v>8.9600000000000009</v>
      </c>
      <c r="K750" t="s">
        <v>18</v>
      </c>
      <c r="L750">
        <v>7.9</v>
      </c>
      <c r="M750">
        <v>8</v>
      </c>
      <c r="N750" t="s">
        <v>30</v>
      </c>
      <c r="O750">
        <f t="shared" si="22"/>
        <v>322.01</v>
      </c>
      <c r="P750" t="str">
        <f t="shared" si="23"/>
        <v>May</v>
      </c>
    </row>
    <row r="751" spans="1:16" x14ac:dyDescent="0.25">
      <c r="A751" t="s">
        <v>783</v>
      </c>
      <c r="B751">
        <v>35</v>
      </c>
      <c r="C751" t="s">
        <v>21</v>
      </c>
      <c r="D751" t="s">
        <v>16</v>
      </c>
      <c r="E751" s="2">
        <v>45672</v>
      </c>
      <c r="F751" t="s">
        <v>17</v>
      </c>
      <c r="G751">
        <v>200</v>
      </c>
      <c r="H751">
        <v>1</v>
      </c>
      <c r="I751">
        <v>52.37</v>
      </c>
      <c r="J751">
        <v>16.66</v>
      </c>
      <c r="K751" t="s">
        <v>18</v>
      </c>
      <c r="L751">
        <v>7.1</v>
      </c>
      <c r="M751">
        <v>10</v>
      </c>
      <c r="N751" t="s">
        <v>30</v>
      </c>
      <c r="O751">
        <f t="shared" si="22"/>
        <v>269.03000000000003</v>
      </c>
      <c r="P751" t="str">
        <f t="shared" si="23"/>
        <v>January</v>
      </c>
    </row>
    <row r="752" spans="1:16" x14ac:dyDescent="0.25">
      <c r="A752" t="s">
        <v>784</v>
      </c>
      <c r="B752">
        <v>64</v>
      </c>
      <c r="C752" t="s">
        <v>15</v>
      </c>
      <c r="D752" t="s">
        <v>52</v>
      </c>
      <c r="E752" s="2">
        <v>45666</v>
      </c>
      <c r="F752" t="s">
        <v>17</v>
      </c>
      <c r="G752">
        <v>200</v>
      </c>
      <c r="H752">
        <v>4</v>
      </c>
      <c r="I752">
        <v>64.709999999999994</v>
      </c>
      <c r="J752">
        <v>17.420000000000002</v>
      </c>
      <c r="K752" t="s">
        <v>18</v>
      </c>
      <c r="L752">
        <v>6.4</v>
      </c>
      <c r="M752">
        <v>9</v>
      </c>
      <c r="N752" t="s">
        <v>25</v>
      </c>
      <c r="O752">
        <f t="shared" si="22"/>
        <v>882.13</v>
      </c>
      <c r="P752" t="str">
        <f t="shared" si="23"/>
        <v>January</v>
      </c>
    </row>
    <row r="753" spans="1:16" x14ac:dyDescent="0.25">
      <c r="A753" t="s">
        <v>785</v>
      </c>
      <c r="B753">
        <v>58</v>
      </c>
      <c r="C753" t="s">
        <v>38</v>
      </c>
      <c r="D753" t="s">
        <v>16</v>
      </c>
      <c r="E753" s="2">
        <v>45672</v>
      </c>
      <c r="F753" t="s">
        <v>29</v>
      </c>
      <c r="G753">
        <v>100</v>
      </c>
      <c r="H753">
        <v>3</v>
      </c>
      <c r="I753">
        <v>57.68</v>
      </c>
      <c r="J753">
        <v>23.28</v>
      </c>
      <c r="K753" t="s">
        <v>18</v>
      </c>
      <c r="L753">
        <v>9.3000000000000007</v>
      </c>
      <c r="M753">
        <v>8</v>
      </c>
      <c r="N753" t="s">
        <v>19</v>
      </c>
      <c r="O753">
        <f t="shared" si="22"/>
        <v>380.96000000000004</v>
      </c>
      <c r="P753" t="str">
        <f t="shared" si="23"/>
        <v>January</v>
      </c>
    </row>
    <row r="754" spans="1:16" x14ac:dyDescent="0.25">
      <c r="A754" t="s">
        <v>786</v>
      </c>
      <c r="B754">
        <v>66</v>
      </c>
      <c r="C754" t="s">
        <v>15</v>
      </c>
      <c r="D754" t="s">
        <v>16</v>
      </c>
      <c r="E754" s="2">
        <v>45770</v>
      </c>
      <c r="F754" t="s">
        <v>23</v>
      </c>
      <c r="G754">
        <v>150</v>
      </c>
      <c r="H754">
        <v>3</v>
      </c>
      <c r="I754">
        <v>9.15</v>
      </c>
      <c r="J754">
        <v>5.81</v>
      </c>
      <c r="K754" t="s">
        <v>18</v>
      </c>
      <c r="L754">
        <v>9.8000000000000007</v>
      </c>
      <c r="M754">
        <v>7</v>
      </c>
      <c r="N754" t="s">
        <v>25</v>
      </c>
      <c r="O754">
        <f t="shared" si="22"/>
        <v>464.96</v>
      </c>
      <c r="P754" t="str">
        <f t="shared" si="23"/>
        <v>April</v>
      </c>
    </row>
    <row r="755" spans="1:16" x14ac:dyDescent="0.25">
      <c r="A755" t="s">
        <v>787</v>
      </c>
      <c r="B755">
        <v>31</v>
      </c>
      <c r="C755" t="s">
        <v>21</v>
      </c>
      <c r="D755" t="s">
        <v>16</v>
      </c>
      <c r="E755" s="2">
        <v>45731</v>
      </c>
      <c r="F755" t="s">
        <v>23</v>
      </c>
      <c r="G755">
        <v>150</v>
      </c>
      <c r="H755">
        <v>3</v>
      </c>
      <c r="I755">
        <v>32.71</v>
      </c>
      <c r="J755">
        <v>28.55</v>
      </c>
      <c r="K755" t="s">
        <v>18</v>
      </c>
      <c r="L755">
        <v>8.1999999999999993</v>
      </c>
      <c r="M755">
        <v>5</v>
      </c>
      <c r="N755" t="s">
        <v>30</v>
      </c>
      <c r="O755">
        <f t="shared" si="22"/>
        <v>511.26</v>
      </c>
      <c r="P755" t="str">
        <f t="shared" si="23"/>
        <v>March</v>
      </c>
    </row>
    <row r="756" spans="1:16" x14ac:dyDescent="0.25">
      <c r="A756" t="s">
        <v>788</v>
      </c>
      <c r="B756">
        <v>32</v>
      </c>
      <c r="C756" t="s">
        <v>21</v>
      </c>
      <c r="D756" t="s">
        <v>22</v>
      </c>
      <c r="E756" s="2">
        <v>45774</v>
      </c>
      <c r="F756" t="s">
        <v>23</v>
      </c>
      <c r="G756">
        <v>150</v>
      </c>
      <c r="H756">
        <v>2</v>
      </c>
      <c r="I756">
        <v>48.43</v>
      </c>
      <c r="J756">
        <v>14.47</v>
      </c>
      <c r="K756" t="s">
        <v>18</v>
      </c>
      <c r="L756">
        <v>7.7</v>
      </c>
      <c r="M756">
        <v>5</v>
      </c>
      <c r="N756" t="s">
        <v>30</v>
      </c>
      <c r="O756">
        <f t="shared" si="22"/>
        <v>362.90000000000003</v>
      </c>
      <c r="P756" t="str">
        <f t="shared" si="23"/>
        <v>April</v>
      </c>
    </row>
    <row r="757" spans="1:16" x14ac:dyDescent="0.25">
      <c r="A757" t="s">
        <v>789</v>
      </c>
      <c r="B757">
        <v>48</v>
      </c>
      <c r="C757" t="s">
        <v>15</v>
      </c>
      <c r="D757" t="s">
        <v>33</v>
      </c>
      <c r="E757" s="2">
        <v>45746</v>
      </c>
      <c r="F757" t="s">
        <v>23</v>
      </c>
      <c r="G757">
        <v>150</v>
      </c>
      <c r="H757">
        <v>2</v>
      </c>
      <c r="I757">
        <v>44.38</v>
      </c>
      <c r="J757">
        <v>1.9</v>
      </c>
      <c r="K757" t="s">
        <v>18</v>
      </c>
      <c r="L757">
        <v>8.1</v>
      </c>
      <c r="M757">
        <v>6</v>
      </c>
      <c r="N757" t="s">
        <v>19</v>
      </c>
      <c r="O757">
        <f t="shared" si="22"/>
        <v>346.28</v>
      </c>
      <c r="P757" t="str">
        <f t="shared" si="23"/>
        <v>March</v>
      </c>
    </row>
    <row r="758" spans="1:16" x14ac:dyDescent="0.25">
      <c r="A758" t="s">
        <v>790</v>
      </c>
      <c r="B758">
        <v>18</v>
      </c>
      <c r="C758" t="s">
        <v>38</v>
      </c>
      <c r="D758" t="s">
        <v>27</v>
      </c>
      <c r="E758" s="2">
        <v>45780</v>
      </c>
      <c r="F758" t="s">
        <v>17</v>
      </c>
      <c r="G758">
        <v>200</v>
      </c>
      <c r="H758">
        <v>4</v>
      </c>
      <c r="I758">
        <v>29.11</v>
      </c>
      <c r="J758">
        <v>26.17</v>
      </c>
      <c r="K758" t="s">
        <v>18</v>
      </c>
      <c r="L758">
        <v>7</v>
      </c>
      <c r="M758">
        <v>8</v>
      </c>
      <c r="N758" t="s">
        <v>34</v>
      </c>
      <c r="O758">
        <f t="shared" si="22"/>
        <v>855.28</v>
      </c>
      <c r="P758" t="str">
        <f t="shared" si="23"/>
        <v>May</v>
      </c>
    </row>
    <row r="759" spans="1:16" x14ac:dyDescent="0.25">
      <c r="A759" t="s">
        <v>791</v>
      </c>
      <c r="B759">
        <v>20</v>
      </c>
      <c r="C759" t="s">
        <v>21</v>
      </c>
      <c r="D759" t="s">
        <v>33</v>
      </c>
      <c r="E759" s="2">
        <v>45787</v>
      </c>
      <c r="F759" t="s">
        <v>41</v>
      </c>
      <c r="G759">
        <v>60</v>
      </c>
      <c r="H759">
        <v>3</v>
      </c>
      <c r="I759">
        <v>53.52</v>
      </c>
      <c r="J759">
        <v>12.47</v>
      </c>
      <c r="K759" t="s">
        <v>18</v>
      </c>
      <c r="L759">
        <v>8.8000000000000007</v>
      </c>
      <c r="M759">
        <v>10</v>
      </c>
      <c r="N759" t="s">
        <v>34</v>
      </c>
      <c r="O759">
        <f t="shared" si="22"/>
        <v>245.99</v>
      </c>
      <c r="P759" t="str">
        <f t="shared" si="23"/>
        <v>May</v>
      </c>
    </row>
    <row r="760" spans="1:16" x14ac:dyDescent="0.25">
      <c r="A760" t="s">
        <v>792</v>
      </c>
      <c r="B760">
        <v>33</v>
      </c>
      <c r="C760" t="s">
        <v>21</v>
      </c>
      <c r="D760" t="s">
        <v>52</v>
      </c>
      <c r="E760" s="2">
        <v>45808</v>
      </c>
      <c r="F760" t="s">
        <v>23</v>
      </c>
      <c r="G760">
        <v>150</v>
      </c>
      <c r="H760">
        <v>2</v>
      </c>
      <c r="I760">
        <v>105.33</v>
      </c>
      <c r="J760">
        <v>46.159499999999987</v>
      </c>
      <c r="K760" t="s">
        <v>24</v>
      </c>
      <c r="L760">
        <v>5.7</v>
      </c>
      <c r="M760">
        <v>10</v>
      </c>
      <c r="N760" t="s">
        <v>30</v>
      </c>
      <c r="O760">
        <f t="shared" si="22"/>
        <v>451.48949999999996</v>
      </c>
      <c r="P760" t="str">
        <f t="shared" si="23"/>
        <v>May</v>
      </c>
    </row>
    <row r="761" spans="1:16" x14ac:dyDescent="0.25">
      <c r="A761" t="s">
        <v>793</v>
      </c>
      <c r="B761">
        <v>40</v>
      </c>
      <c r="C761" t="s">
        <v>21</v>
      </c>
      <c r="D761" t="s">
        <v>16</v>
      </c>
      <c r="E761" s="2">
        <v>45660</v>
      </c>
      <c r="F761" t="s">
        <v>41</v>
      </c>
      <c r="G761">
        <v>60</v>
      </c>
      <c r="H761">
        <v>3</v>
      </c>
      <c r="I761">
        <v>68.64</v>
      </c>
      <c r="J761">
        <v>7.41</v>
      </c>
      <c r="K761" t="s">
        <v>18</v>
      </c>
      <c r="L761">
        <v>6.4</v>
      </c>
      <c r="M761">
        <v>9</v>
      </c>
      <c r="N761" t="s">
        <v>19</v>
      </c>
      <c r="O761">
        <f t="shared" si="22"/>
        <v>256.05</v>
      </c>
      <c r="P761" t="str">
        <f t="shared" si="23"/>
        <v>January</v>
      </c>
    </row>
    <row r="762" spans="1:16" x14ac:dyDescent="0.25">
      <c r="A762" t="s">
        <v>794</v>
      </c>
      <c r="B762">
        <v>28</v>
      </c>
      <c r="C762" t="s">
        <v>38</v>
      </c>
      <c r="D762" t="s">
        <v>33</v>
      </c>
      <c r="E762" s="2">
        <v>45743</v>
      </c>
      <c r="F762" t="s">
        <v>41</v>
      </c>
      <c r="G762">
        <v>60</v>
      </c>
      <c r="H762">
        <v>2</v>
      </c>
      <c r="I762">
        <v>92.31</v>
      </c>
      <c r="J762">
        <v>21.27</v>
      </c>
      <c r="K762" t="s">
        <v>18</v>
      </c>
      <c r="L762">
        <v>6.8</v>
      </c>
      <c r="M762">
        <v>7</v>
      </c>
      <c r="N762" t="s">
        <v>34</v>
      </c>
      <c r="O762">
        <f t="shared" si="22"/>
        <v>233.58</v>
      </c>
      <c r="P762" t="str">
        <f t="shared" si="23"/>
        <v>March</v>
      </c>
    </row>
    <row r="763" spans="1:16" x14ac:dyDescent="0.25">
      <c r="A763" t="s">
        <v>795</v>
      </c>
      <c r="B763">
        <v>29</v>
      </c>
      <c r="C763" t="s">
        <v>38</v>
      </c>
      <c r="D763" t="s">
        <v>22</v>
      </c>
      <c r="E763" s="2">
        <v>45863</v>
      </c>
      <c r="F763" t="s">
        <v>41</v>
      </c>
      <c r="G763">
        <v>60</v>
      </c>
      <c r="H763">
        <v>1</v>
      </c>
      <c r="I763">
        <v>113.68</v>
      </c>
      <c r="J763">
        <v>8.2799999999999994</v>
      </c>
      <c r="K763" t="s">
        <v>18</v>
      </c>
      <c r="L763">
        <v>8.8000000000000007</v>
      </c>
      <c r="M763">
        <v>10</v>
      </c>
      <c r="N763" t="s">
        <v>34</v>
      </c>
      <c r="O763">
        <f t="shared" si="22"/>
        <v>181.96</v>
      </c>
      <c r="P763" t="str">
        <f t="shared" si="23"/>
        <v>July</v>
      </c>
    </row>
    <row r="764" spans="1:16" x14ac:dyDescent="0.25">
      <c r="A764" t="s">
        <v>796</v>
      </c>
      <c r="B764">
        <v>27</v>
      </c>
      <c r="C764" t="s">
        <v>21</v>
      </c>
      <c r="D764" t="s">
        <v>52</v>
      </c>
      <c r="E764" s="2">
        <v>45750</v>
      </c>
      <c r="F764" t="s">
        <v>17</v>
      </c>
      <c r="G764">
        <v>200</v>
      </c>
      <c r="H764">
        <v>1</v>
      </c>
      <c r="I764">
        <v>87.6</v>
      </c>
      <c r="J764">
        <v>2.0499999999999998</v>
      </c>
      <c r="K764" t="s">
        <v>18</v>
      </c>
      <c r="L764">
        <v>7.5</v>
      </c>
      <c r="M764">
        <v>7</v>
      </c>
      <c r="N764" t="s">
        <v>34</v>
      </c>
      <c r="O764">
        <f t="shared" si="22"/>
        <v>289.65000000000003</v>
      </c>
      <c r="P764" t="str">
        <f t="shared" si="23"/>
        <v>April</v>
      </c>
    </row>
    <row r="765" spans="1:16" x14ac:dyDescent="0.25">
      <c r="A765" t="s">
        <v>797</v>
      </c>
      <c r="B765">
        <v>49</v>
      </c>
      <c r="C765" t="s">
        <v>21</v>
      </c>
      <c r="D765" t="s">
        <v>36</v>
      </c>
      <c r="E765" s="2">
        <v>45868</v>
      </c>
      <c r="F765" t="s">
        <v>41</v>
      </c>
      <c r="G765">
        <v>60</v>
      </c>
      <c r="H765">
        <v>3</v>
      </c>
      <c r="I765">
        <v>106.73</v>
      </c>
      <c r="J765">
        <v>46.159499999999987</v>
      </c>
      <c r="K765" t="s">
        <v>18</v>
      </c>
      <c r="L765">
        <v>10</v>
      </c>
      <c r="M765">
        <v>9</v>
      </c>
      <c r="N765" t="s">
        <v>19</v>
      </c>
      <c r="O765">
        <f t="shared" si="22"/>
        <v>332.8895</v>
      </c>
      <c r="P765" t="str">
        <f t="shared" si="23"/>
        <v>July</v>
      </c>
    </row>
    <row r="766" spans="1:16" x14ac:dyDescent="0.25">
      <c r="A766" t="s">
        <v>798</v>
      </c>
      <c r="B766">
        <v>33</v>
      </c>
      <c r="C766" t="s">
        <v>15</v>
      </c>
      <c r="D766" t="s">
        <v>33</v>
      </c>
      <c r="E766" s="2">
        <v>45833</v>
      </c>
      <c r="F766" t="s">
        <v>29</v>
      </c>
      <c r="G766">
        <v>100</v>
      </c>
      <c r="H766">
        <v>4</v>
      </c>
      <c r="I766">
        <v>6.17</v>
      </c>
      <c r="J766">
        <v>14.66</v>
      </c>
      <c r="K766" t="s">
        <v>18</v>
      </c>
      <c r="L766">
        <v>9.1999999999999993</v>
      </c>
      <c r="M766">
        <v>6</v>
      </c>
      <c r="N766" t="s">
        <v>30</v>
      </c>
      <c r="O766">
        <f t="shared" si="22"/>
        <v>420.83000000000004</v>
      </c>
      <c r="P766" t="str">
        <f t="shared" si="23"/>
        <v>June</v>
      </c>
    </row>
    <row r="767" spans="1:16" x14ac:dyDescent="0.25">
      <c r="A767" t="s">
        <v>799</v>
      </c>
      <c r="B767">
        <v>25</v>
      </c>
      <c r="C767" t="s">
        <v>15</v>
      </c>
      <c r="D767" t="s">
        <v>36</v>
      </c>
      <c r="E767" s="2">
        <v>45753</v>
      </c>
      <c r="F767" t="s">
        <v>29</v>
      </c>
      <c r="G767">
        <v>100</v>
      </c>
      <c r="H767">
        <v>2</v>
      </c>
      <c r="I767">
        <v>55.16</v>
      </c>
      <c r="J767">
        <v>10.27</v>
      </c>
      <c r="K767" t="s">
        <v>18</v>
      </c>
      <c r="L767">
        <v>6.8</v>
      </c>
      <c r="M767">
        <v>6</v>
      </c>
      <c r="N767" t="s">
        <v>34</v>
      </c>
      <c r="O767">
        <f t="shared" si="22"/>
        <v>265.43</v>
      </c>
      <c r="P767" t="str">
        <f t="shared" si="23"/>
        <v>April</v>
      </c>
    </row>
    <row r="768" spans="1:16" x14ac:dyDescent="0.25">
      <c r="A768" t="s">
        <v>800</v>
      </c>
      <c r="B768">
        <v>55</v>
      </c>
      <c r="C768" t="s">
        <v>21</v>
      </c>
      <c r="D768" t="s">
        <v>16</v>
      </c>
      <c r="E768" s="2">
        <v>45715</v>
      </c>
      <c r="F768" t="s">
        <v>29</v>
      </c>
      <c r="G768">
        <v>100</v>
      </c>
      <c r="H768">
        <v>2</v>
      </c>
      <c r="I768">
        <v>21.6</v>
      </c>
      <c r="J768">
        <v>26.47</v>
      </c>
      <c r="K768" t="s">
        <v>18</v>
      </c>
      <c r="L768">
        <v>9</v>
      </c>
      <c r="M768">
        <v>10</v>
      </c>
      <c r="N768" t="s">
        <v>19</v>
      </c>
      <c r="O768">
        <f t="shared" si="22"/>
        <v>248.07</v>
      </c>
      <c r="P768" t="str">
        <f t="shared" si="23"/>
        <v>February</v>
      </c>
    </row>
    <row r="769" spans="1:16" x14ac:dyDescent="0.25">
      <c r="A769" t="s">
        <v>801</v>
      </c>
      <c r="B769">
        <v>29</v>
      </c>
      <c r="C769" t="s">
        <v>15</v>
      </c>
      <c r="D769" t="s">
        <v>22</v>
      </c>
      <c r="E769" s="2">
        <v>45884</v>
      </c>
      <c r="F769" t="s">
        <v>41</v>
      </c>
      <c r="G769">
        <v>60</v>
      </c>
      <c r="H769">
        <v>1</v>
      </c>
      <c r="I769">
        <v>74.540000000000006</v>
      </c>
      <c r="J769">
        <v>20.16</v>
      </c>
      <c r="K769" t="s">
        <v>18</v>
      </c>
      <c r="L769">
        <v>7.4</v>
      </c>
      <c r="M769">
        <v>8</v>
      </c>
      <c r="N769" t="s">
        <v>34</v>
      </c>
      <c r="O769">
        <f t="shared" si="22"/>
        <v>154.70000000000002</v>
      </c>
      <c r="P769" t="str">
        <f t="shared" si="23"/>
        <v>August</v>
      </c>
    </row>
    <row r="770" spans="1:16" x14ac:dyDescent="0.25">
      <c r="A770" t="s">
        <v>802</v>
      </c>
      <c r="B770">
        <v>41</v>
      </c>
      <c r="C770" t="s">
        <v>21</v>
      </c>
      <c r="D770" t="s">
        <v>22</v>
      </c>
      <c r="E770" s="2">
        <v>45898</v>
      </c>
      <c r="F770" t="s">
        <v>23</v>
      </c>
      <c r="G770">
        <v>150</v>
      </c>
      <c r="H770">
        <v>1</v>
      </c>
      <c r="I770">
        <v>82.45</v>
      </c>
      <c r="J770">
        <v>2.12</v>
      </c>
      <c r="K770" t="s">
        <v>18</v>
      </c>
      <c r="L770">
        <v>8.6999999999999993</v>
      </c>
      <c r="M770">
        <v>7</v>
      </c>
      <c r="N770" t="s">
        <v>19</v>
      </c>
      <c r="O770">
        <f t="shared" si="22"/>
        <v>234.57</v>
      </c>
      <c r="P770" t="str">
        <f t="shared" si="23"/>
        <v>August</v>
      </c>
    </row>
    <row r="771" spans="1:16" x14ac:dyDescent="0.25">
      <c r="A771" t="s">
        <v>803</v>
      </c>
      <c r="B771">
        <v>45</v>
      </c>
      <c r="C771" t="s">
        <v>15</v>
      </c>
      <c r="D771" t="s">
        <v>33</v>
      </c>
      <c r="E771" s="2">
        <v>45740</v>
      </c>
      <c r="F771" t="s">
        <v>41</v>
      </c>
      <c r="G771">
        <v>60</v>
      </c>
      <c r="H771">
        <v>4</v>
      </c>
      <c r="I771">
        <v>22.08</v>
      </c>
      <c r="J771">
        <v>8.75</v>
      </c>
      <c r="K771" t="s">
        <v>24</v>
      </c>
      <c r="L771">
        <v>9.3000000000000007</v>
      </c>
      <c r="M771">
        <v>10</v>
      </c>
      <c r="N771" t="s">
        <v>19</v>
      </c>
      <c r="O771">
        <f t="shared" ref="O771:O801" si="24">(G771*H771)+I771+J771</f>
        <v>270.83</v>
      </c>
      <c r="P771" t="str">
        <f t="shared" ref="P771:P801" si="25">TEXT(E771, "mmmm")</f>
        <v>March</v>
      </c>
    </row>
    <row r="772" spans="1:16" x14ac:dyDescent="0.25">
      <c r="A772" t="s">
        <v>804</v>
      </c>
      <c r="B772">
        <v>25</v>
      </c>
      <c r="C772" t="s">
        <v>15</v>
      </c>
      <c r="D772" t="s">
        <v>52</v>
      </c>
      <c r="E772" s="2">
        <v>45889</v>
      </c>
      <c r="F772" t="s">
        <v>29</v>
      </c>
      <c r="G772">
        <v>100</v>
      </c>
      <c r="H772">
        <v>4</v>
      </c>
      <c r="I772">
        <v>86</v>
      </c>
      <c r="J772">
        <v>8.83</v>
      </c>
      <c r="K772" t="s">
        <v>18</v>
      </c>
      <c r="L772">
        <v>9.6999999999999993</v>
      </c>
      <c r="M772">
        <v>10</v>
      </c>
      <c r="N772" t="s">
        <v>34</v>
      </c>
      <c r="O772">
        <f t="shared" si="24"/>
        <v>494.83</v>
      </c>
      <c r="P772" t="str">
        <f t="shared" si="25"/>
        <v>August</v>
      </c>
    </row>
    <row r="773" spans="1:16" x14ac:dyDescent="0.25">
      <c r="A773" t="s">
        <v>805</v>
      </c>
      <c r="B773">
        <v>45</v>
      </c>
      <c r="C773" t="s">
        <v>21</v>
      </c>
      <c r="D773" t="s">
        <v>52</v>
      </c>
      <c r="E773" s="2">
        <v>45782</v>
      </c>
      <c r="F773" t="s">
        <v>41</v>
      </c>
      <c r="G773">
        <v>60</v>
      </c>
      <c r="H773">
        <v>4</v>
      </c>
      <c r="I773">
        <v>46.82</v>
      </c>
      <c r="J773">
        <v>4.97</v>
      </c>
      <c r="K773" t="s">
        <v>24</v>
      </c>
      <c r="L773">
        <v>8.3000000000000007</v>
      </c>
      <c r="M773">
        <v>7</v>
      </c>
      <c r="N773" t="s">
        <v>19</v>
      </c>
      <c r="O773">
        <f t="shared" si="24"/>
        <v>291.79000000000002</v>
      </c>
      <c r="P773" t="str">
        <f t="shared" si="25"/>
        <v>May</v>
      </c>
    </row>
    <row r="774" spans="1:16" x14ac:dyDescent="0.25">
      <c r="A774" t="s">
        <v>806</v>
      </c>
      <c r="B774">
        <v>53</v>
      </c>
      <c r="C774" t="s">
        <v>38</v>
      </c>
      <c r="D774" t="s">
        <v>22</v>
      </c>
      <c r="E774" s="2">
        <v>45862</v>
      </c>
      <c r="F774" t="s">
        <v>41</v>
      </c>
      <c r="G774">
        <v>60</v>
      </c>
      <c r="H774">
        <v>3</v>
      </c>
      <c r="I774">
        <v>48.06</v>
      </c>
      <c r="J774">
        <v>12.54</v>
      </c>
      <c r="K774" t="s">
        <v>24</v>
      </c>
      <c r="L774">
        <v>10</v>
      </c>
      <c r="M774">
        <v>8</v>
      </c>
      <c r="N774" t="s">
        <v>19</v>
      </c>
      <c r="O774">
        <f t="shared" si="24"/>
        <v>240.6</v>
      </c>
      <c r="P774" t="str">
        <f t="shared" si="25"/>
        <v>July</v>
      </c>
    </row>
    <row r="775" spans="1:16" x14ac:dyDescent="0.25">
      <c r="A775" t="s">
        <v>807</v>
      </c>
      <c r="B775">
        <v>43</v>
      </c>
      <c r="C775" t="s">
        <v>15</v>
      </c>
      <c r="D775" t="s">
        <v>52</v>
      </c>
      <c r="E775" s="2">
        <v>45694</v>
      </c>
      <c r="F775" t="s">
        <v>23</v>
      </c>
      <c r="G775">
        <v>150</v>
      </c>
      <c r="H775">
        <v>1</v>
      </c>
      <c r="I775">
        <v>86.18</v>
      </c>
      <c r="J775">
        <v>15.15</v>
      </c>
      <c r="K775" t="s">
        <v>18</v>
      </c>
      <c r="L775">
        <v>8.6999999999999993</v>
      </c>
      <c r="M775">
        <v>8</v>
      </c>
      <c r="N775" t="s">
        <v>19</v>
      </c>
      <c r="O775">
        <f t="shared" si="24"/>
        <v>251.33</v>
      </c>
      <c r="P775" t="str">
        <f t="shared" si="25"/>
        <v>February</v>
      </c>
    </row>
    <row r="776" spans="1:16" x14ac:dyDescent="0.25">
      <c r="A776" t="s">
        <v>808</v>
      </c>
      <c r="B776">
        <v>25</v>
      </c>
      <c r="C776" t="s">
        <v>21</v>
      </c>
      <c r="D776" t="s">
        <v>22</v>
      </c>
      <c r="E776" s="2">
        <v>45836</v>
      </c>
      <c r="F776" t="s">
        <v>41</v>
      </c>
      <c r="G776">
        <v>60</v>
      </c>
      <c r="H776">
        <v>3</v>
      </c>
      <c r="I776">
        <v>24.48</v>
      </c>
      <c r="J776">
        <v>31.34</v>
      </c>
      <c r="K776" t="s">
        <v>18</v>
      </c>
      <c r="L776">
        <v>8.1999999999999993</v>
      </c>
      <c r="M776">
        <v>4</v>
      </c>
      <c r="N776" t="s">
        <v>34</v>
      </c>
      <c r="O776">
        <f t="shared" si="24"/>
        <v>235.82</v>
      </c>
      <c r="P776" t="str">
        <f t="shared" si="25"/>
        <v>June</v>
      </c>
    </row>
    <row r="777" spans="1:16" x14ac:dyDescent="0.25">
      <c r="A777" t="s">
        <v>809</v>
      </c>
      <c r="B777">
        <v>67</v>
      </c>
      <c r="C777" t="s">
        <v>21</v>
      </c>
      <c r="D777" t="s">
        <v>33</v>
      </c>
      <c r="E777" s="2">
        <v>45903</v>
      </c>
      <c r="F777" t="s">
        <v>17</v>
      </c>
      <c r="G777">
        <v>200</v>
      </c>
      <c r="H777">
        <v>1</v>
      </c>
      <c r="I777">
        <v>85.74</v>
      </c>
      <c r="J777">
        <v>18.04</v>
      </c>
      <c r="K777" t="s">
        <v>18</v>
      </c>
      <c r="L777">
        <v>7.5</v>
      </c>
      <c r="M777">
        <v>6</v>
      </c>
      <c r="N777" t="s">
        <v>25</v>
      </c>
      <c r="O777">
        <f t="shared" si="24"/>
        <v>303.78000000000003</v>
      </c>
      <c r="P777" t="str">
        <f t="shared" si="25"/>
        <v>September</v>
      </c>
    </row>
    <row r="778" spans="1:16" x14ac:dyDescent="0.25">
      <c r="A778" t="s">
        <v>810</v>
      </c>
      <c r="B778">
        <v>45</v>
      </c>
      <c r="C778" t="s">
        <v>15</v>
      </c>
      <c r="D778" t="s">
        <v>27</v>
      </c>
      <c r="E778" s="2">
        <v>45821</v>
      </c>
      <c r="F778" t="s">
        <v>17</v>
      </c>
      <c r="G778">
        <v>200</v>
      </c>
      <c r="H778">
        <v>1</v>
      </c>
      <c r="I778">
        <v>24.62</v>
      </c>
      <c r="J778">
        <v>3.93</v>
      </c>
      <c r="K778" t="s">
        <v>24</v>
      </c>
      <c r="L778">
        <v>7.1</v>
      </c>
      <c r="M778">
        <v>9</v>
      </c>
      <c r="N778" t="s">
        <v>19</v>
      </c>
      <c r="O778">
        <f t="shared" si="24"/>
        <v>228.55</v>
      </c>
      <c r="P778" t="str">
        <f t="shared" si="25"/>
        <v>June</v>
      </c>
    </row>
    <row r="779" spans="1:16" x14ac:dyDescent="0.25">
      <c r="A779" t="s">
        <v>811</v>
      </c>
      <c r="B779">
        <v>45</v>
      </c>
      <c r="C779" t="s">
        <v>21</v>
      </c>
      <c r="D779" t="s">
        <v>22</v>
      </c>
      <c r="E779" s="2">
        <v>45832</v>
      </c>
      <c r="F779" t="s">
        <v>17</v>
      </c>
      <c r="G779">
        <v>200</v>
      </c>
      <c r="H779">
        <v>2</v>
      </c>
      <c r="I779">
        <v>46.46</v>
      </c>
      <c r="J779">
        <v>9.75</v>
      </c>
      <c r="K779" t="s">
        <v>24</v>
      </c>
      <c r="L779">
        <v>8.6</v>
      </c>
      <c r="M779">
        <v>7</v>
      </c>
      <c r="N779" t="s">
        <v>19</v>
      </c>
      <c r="O779">
        <f t="shared" si="24"/>
        <v>456.21</v>
      </c>
      <c r="P779" t="str">
        <f t="shared" si="25"/>
        <v>June</v>
      </c>
    </row>
    <row r="780" spans="1:16" x14ac:dyDescent="0.25">
      <c r="A780" t="s">
        <v>812</v>
      </c>
      <c r="B780">
        <v>54</v>
      </c>
      <c r="C780" t="s">
        <v>15</v>
      </c>
      <c r="D780" t="s">
        <v>36</v>
      </c>
      <c r="E780" s="2">
        <v>45804</v>
      </c>
      <c r="F780" t="s">
        <v>23</v>
      </c>
      <c r="G780">
        <v>150</v>
      </c>
      <c r="H780">
        <v>1</v>
      </c>
      <c r="I780">
        <v>24.47</v>
      </c>
      <c r="J780">
        <v>25.44</v>
      </c>
      <c r="K780" t="s">
        <v>18</v>
      </c>
      <c r="L780">
        <v>8.1999999999999993</v>
      </c>
      <c r="M780">
        <v>9</v>
      </c>
      <c r="N780" t="s">
        <v>19</v>
      </c>
      <c r="O780">
        <f t="shared" si="24"/>
        <v>199.91</v>
      </c>
      <c r="P780" t="str">
        <f t="shared" si="25"/>
        <v>May</v>
      </c>
    </row>
    <row r="781" spans="1:16" x14ac:dyDescent="0.25">
      <c r="A781" t="s">
        <v>813</v>
      </c>
      <c r="B781">
        <v>58</v>
      </c>
      <c r="C781" t="s">
        <v>15</v>
      </c>
      <c r="D781" t="s">
        <v>52</v>
      </c>
      <c r="E781" s="2">
        <v>45664</v>
      </c>
      <c r="F781" t="s">
        <v>29</v>
      </c>
      <c r="G781">
        <v>100</v>
      </c>
      <c r="H781">
        <v>1</v>
      </c>
      <c r="I781">
        <v>58.11</v>
      </c>
      <c r="J781">
        <v>18.86</v>
      </c>
      <c r="K781" t="s">
        <v>24</v>
      </c>
      <c r="L781">
        <v>8.4</v>
      </c>
      <c r="M781">
        <v>8</v>
      </c>
      <c r="N781" t="s">
        <v>19</v>
      </c>
      <c r="O781">
        <f t="shared" si="24"/>
        <v>176.97000000000003</v>
      </c>
      <c r="P781" t="str">
        <f t="shared" si="25"/>
        <v>January</v>
      </c>
    </row>
    <row r="782" spans="1:16" x14ac:dyDescent="0.25">
      <c r="A782" t="s">
        <v>814</v>
      </c>
      <c r="B782">
        <v>53</v>
      </c>
      <c r="C782" t="s">
        <v>38</v>
      </c>
      <c r="D782" t="s">
        <v>22</v>
      </c>
      <c r="E782" s="2">
        <v>45881</v>
      </c>
      <c r="F782" t="s">
        <v>17</v>
      </c>
      <c r="G782">
        <v>200</v>
      </c>
      <c r="H782">
        <v>3</v>
      </c>
      <c r="I782">
        <v>56.71</v>
      </c>
      <c r="J782">
        <v>11.83</v>
      </c>
      <c r="K782" t="s">
        <v>18</v>
      </c>
      <c r="L782">
        <v>8.6999999999999993</v>
      </c>
      <c r="M782">
        <v>10</v>
      </c>
      <c r="N782" t="s">
        <v>19</v>
      </c>
      <c r="O782">
        <f t="shared" si="24"/>
        <v>668.54000000000008</v>
      </c>
      <c r="P782" t="str">
        <f t="shared" si="25"/>
        <v>August</v>
      </c>
    </row>
    <row r="783" spans="1:16" x14ac:dyDescent="0.25">
      <c r="A783" t="s">
        <v>815</v>
      </c>
      <c r="B783">
        <v>44</v>
      </c>
      <c r="C783" t="s">
        <v>15</v>
      </c>
      <c r="D783" t="s">
        <v>22</v>
      </c>
      <c r="E783" s="2">
        <v>45747</v>
      </c>
      <c r="F783" t="s">
        <v>17</v>
      </c>
      <c r="G783">
        <v>200</v>
      </c>
      <c r="H783">
        <v>1</v>
      </c>
      <c r="I783">
        <v>51.46</v>
      </c>
      <c r="J783">
        <v>3.55</v>
      </c>
      <c r="K783" t="s">
        <v>18</v>
      </c>
      <c r="L783">
        <v>8.4</v>
      </c>
      <c r="M783">
        <v>6</v>
      </c>
      <c r="N783" t="s">
        <v>19</v>
      </c>
      <c r="O783">
        <f t="shared" si="24"/>
        <v>255.01000000000002</v>
      </c>
      <c r="P783" t="str">
        <f t="shared" si="25"/>
        <v>March</v>
      </c>
    </row>
    <row r="784" spans="1:16" x14ac:dyDescent="0.25">
      <c r="A784" t="s">
        <v>816</v>
      </c>
      <c r="B784">
        <v>34</v>
      </c>
      <c r="C784" t="s">
        <v>21</v>
      </c>
      <c r="D784" t="s">
        <v>33</v>
      </c>
      <c r="E784" s="2">
        <v>45773</v>
      </c>
      <c r="F784" t="s">
        <v>41</v>
      </c>
      <c r="G784">
        <v>60</v>
      </c>
      <c r="H784">
        <v>3</v>
      </c>
      <c r="I784">
        <v>33.04</v>
      </c>
      <c r="J784">
        <v>46.159499999999987</v>
      </c>
      <c r="K784" t="s">
        <v>24</v>
      </c>
      <c r="L784">
        <v>10</v>
      </c>
      <c r="M784">
        <v>9</v>
      </c>
      <c r="N784" t="s">
        <v>30</v>
      </c>
      <c r="O784">
        <f t="shared" si="24"/>
        <v>259.1995</v>
      </c>
      <c r="P784" t="str">
        <f t="shared" si="25"/>
        <v>April</v>
      </c>
    </row>
    <row r="785" spans="1:16" x14ac:dyDescent="0.25">
      <c r="A785" t="s">
        <v>817</v>
      </c>
      <c r="B785">
        <v>26</v>
      </c>
      <c r="C785" t="s">
        <v>21</v>
      </c>
      <c r="D785" t="s">
        <v>52</v>
      </c>
      <c r="E785" s="2">
        <v>45664</v>
      </c>
      <c r="F785" t="s">
        <v>41</v>
      </c>
      <c r="G785">
        <v>60</v>
      </c>
      <c r="H785">
        <v>4</v>
      </c>
      <c r="I785">
        <v>79.489999999999995</v>
      </c>
      <c r="J785">
        <v>46.159499999999987</v>
      </c>
      <c r="K785" t="s">
        <v>24</v>
      </c>
      <c r="L785">
        <v>7.2</v>
      </c>
      <c r="M785">
        <v>8</v>
      </c>
      <c r="N785" t="s">
        <v>34</v>
      </c>
      <c r="O785">
        <f t="shared" si="24"/>
        <v>365.64949999999999</v>
      </c>
      <c r="P785" t="str">
        <f t="shared" si="25"/>
        <v>January</v>
      </c>
    </row>
    <row r="786" spans="1:16" x14ac:dyDescent="0.25">
      <c r="A786" t="s">
        <v>818</v>
      </c>
      <c r="B786">
        <v>50</v>
      </c>
      <c r="C786" t="s">
        <v>15</v>
      </c>
      <c r="D786" t="s">
        <v>27</v>
      </c>
      <c r="E786" s="2">
        <v>45735</v>
      </c>
      <c r="F786" t="s">
        <v>41</v>
      </c>
      <c r="G786">
        <v>60</v>
      </c>
      <c r="H786">
        <v>1</v>
      </c>
      <c r="I786">
        <v>7.03</v>
      </c>
      <c r="J786">
        <v>21.54</v>
      </c>
      <c r="K786" t="s">
        <v>18</v>
      </c>
      <c r="L786">
        <v>8.6</v>
      </c>
      <c r="M786">
        <v>7</v>
      </c>
      <c r="N786" t="s">
        <v>19</v>
      </c>
      <c r="O786">
        <f t="shared" si="24"/>
        <v>88.57</v>
      </c>
      <c r="P786" t="str">
        <f t="shared" si="25"/>
        <v>March</v>
      </c>
    </row>
    <row r="787" spans="1:16" x14ac:dyDescent="0.25">
      <c r="A787" t="s">
        <v>819</v>
      </c>
      <c r="B787">
        <v>37</v>
      </c>
      <c r="C787" t="s">
        <v>21</v>
      </c>
      <c r="D787" t="s">
        <v>33</v>
      </c>
      <c r="E787" s="2">
        <v>45818</v>
      </c>
      <c r="F787" t="s">
        <v>41</v>
      </c>
      <c r="G787">
        <v>60</v>
      </c>
      <c r="H787">
        <v>1</v>
      </c>
      <c r="I787">
        <v>41.26</v>
      </c>
      <c r="J787">
        <v>14.15</v>
      </c>
      <c r="K787" t="s">
        <v>24</v>
      </c>
      <c r="L787">
        <v>7.7</v>
      </c>
      <c r="M787">
        <v>7</v>
      </c>
      <c r="N787" t="s">
        <v>30</v>
      </c>
      <c r="O787">
        <f t="shared" si="24"/>
        <v>115.41</v>
      </c>
      <c r="P787" t="str">
        <f t="shared" si="25"/>
        <v>June</v>
      </c>
    </row>
    <row r="788" spans="1:16" x14ac:dyDescent="0.25">
      <c r="A788" t="s">
        <v>820</v>
      </c>
      <c r="B788">
        <v>30</v>
      </c>
      <c r="C788" t="s">
        <v>38</v>
      </c>
      <c r="D788" t="s">
        <v>27</v>
      </c>
      <c r="E788" s="2">
        <v>45751</v>
      </c>
      <c r="F788" t="s">
        <v>41</v>
      </c>
      <c r="G788">
        <v>60</v>
      </c>
      <c r="H788">
        <v>3</v>
      </c>
      <c r="I788">
        <v>94.53</v>
      </c>
      <c r="J788">
        <v>10.32</v>
      </c>
      <c r="K788" t="s">
        <v>24</v>
      </c>
      <c r="L788">
        <v>4.3</v>
      </c>
      <c r="M788">
        <v>8</v>
      </c>
      <c r="N788" t="s">
        <v>30</v>
      </c>
      <c r="O788">
        <f t="shared" si="24"/>
        <v>284.84999999999997</v>
      </c>
      <c r="P788" t="str">
        <f t="shared" si="25"/>
        <v>April</v>
      </c>
    </row>
    <row r="789" spans="1:16" x14ac:dyDescent="0.25">
      <c r="A789" t="s">
        <v>821</v>
      </c>
      <c r="B789">
        <v>45</v>
      </c>
      <c r="C789" t="s">
        <v>15</v>
      </c>
      <c r="D789" t="s">
        <v>33</v>
      </c>
      <c r="E789" s="2">
        <v>45687</v>
      </c>
      <c r="F789" t="s">
        <v>17</v>
      </c>
      <c r="G789">
        <v>200</v>
      </c>
      <c r="H789">
        <v>4</v>
      </c>
      <c r="I789">
        <v>108.35</v>
      </c>
      <c r="J789">
        <v>19.440000000000001</v>
      </c>
      <c r="K789" t="s">
        <v>24</v>
      </c>
      <c r="L789">
        <v>7.7</v>
      </c>
      <c r="M789">
        <v>9</v>
      </c>
      <c r="N789" t="s">
        <v>19</v>
      </c>
      <c r="O789">
        <f t="shared" si="24"/>
        <v>927.79000000000008</v>
      </c>
      <c r="P789" t="str">
        <f t="shared" si="25"/>
        <v>January</v>
      </c>
    </row>
    <row r="790" spans="1:16" x14ac:dyDescent="0.25">
      <c r="A790" t="s">
        <v>822</v>
      </c>
      <c r="B790">
        <v>65</v>
      </c>
      <c r="C790" t="s">
        <v>21</v>
      </c>
      <c r="D790" t="s">
        <v>52</v>
      </c>
      <c r="E790" s="2">
        <v>45695</v>
      </c>
      <c r="F790" t="s">
        <v>23</v>
      </c>
      <c r="G790">
        <v>150</v>
      </c>
      <c r="H790">
        <v>2</v>
      </c>
      <c r="I790">
        <v>54.38</v>
      </c>
      <c r="J790">
        <v>40.01</v>
      </c>
      <c r="K790" t="s">
        <v>24</v>
      </c>
      <c r="L790">
        <v>6.6</v>
      </c>
      <c r="M790">
        <v>8</v>
      </c>
      <c r="N790" t="s">
        <v>25</v>
      </c>
      <c r="O790">
        <f t="shared" si="24"/>
        <v>394.39</v>
      </c>
      <c r="P790" t="str">
        <f t="shared" si="25"/>
        <v>February</v>
      </c>
    </row>
    <row r="791" spans="1:16" x14ac:dyDescent="0.25">
      <c r="A791" t="s">
        <v>823</v>
      </c>
      <c r="B791">
        <v>46</v>
      </c>
      <c r="C791" t="s">
        <v>21</v>
      </c>
      <c r="D791" t="s">
        <v>40</v>
      </c>
      <c r="E791" s="2">
        <v>45771</v>
      </c>
      <c r="F791" t="s">
        <v>41</v>
      </c>
      <c r="G791">
        <v>60</v>
      </c>
      <c r="H791">
        <v>4</v>
      </c>
      <c r="I791">
        <v>54.61</v>
      </c>
      <c r="J791">
        <v>15.7</v>
      </c>
      <c r="K791" t="s">
        <v>24</v>
      </c>
      <c r="L791">
        <v>7.9</v>
      </c>
      <c r="M791">
        <v>8</v>
      </c>
      <c r="N791" t="s">
        <v>19</v>
      </c>
      <c r="O791">
        <f t="shared" si="24"/>
        <v>310.31</v>
      </c>
      <c r="P791" t="str">
        <f t="shared" si="25"/>
        <v>April</v>
      </c>
    </row>
    <row r="792" spans="1:16" x14ac:dyDescent="0.25">
      <c r="A792" t="s">
        <v>824</v>
      </c>
      <c r="B792">
        <v>30</v>
      </c>
      <c r="C792" t="s">
        <v>21</v>
      </c>
      <c r="D792" t="s">
        <v>52</v>
      </c>
      <c r="E792" s="2">
        <v>45821</v>
      </c>
      <c r="F792" t="s">
        <v>23</v>
      </c>
      <c r="G792">
        <v>150</v>
      </c>
      <c r="H792">
        <v>3</v>
      </c>
      <c r="I792">
        <v>18.03</v>
      </c>
      <c r="J792">
        <v>8.69</v>
      </c>
      <c r="K792" t="s">
        <v>18</v>
      </c>
      <c r="L792">
        <v>8</v>
      </c>
      <c r="M792">
        <v>7</v>
      </c>
      <c r="N792" t="s">
        <v>30</v>
      </c>
      <c r="O792">
        <f t="shared" si="24"/>
        <v>476.71999999999997</v>
      </c>
      <c r="P792" t="str">
        <f t="shared" si="25"/>
        <v>June</v>
      </c>
    </row>
    <row r="793" spans="1:16" x14ac:dyDescent="0.25">
      <c r="A793" t="s">
        <v>825</v>
      </c>
      <c r="B793">
        <v>63</v>
      </c>
      <c r="C793" t="s">
        <v>21</v>
      </c>
      <c r="D793" t="s">
        <v>52</v>
      </c>
      <c r="E793" s="2">
        <v>45799</v>
      </c>
      <c r="F793" t="s">
        <v>29</v>
      </c>
      <c r="G793">
        <v>100</v>
      </c>
      <c r="H793">
        <v>4</v>
      </c>
      <c r="I793">
        <v>22.64</v>
      </c>
      <c r="J793">
        <v>46.159499999999987</v>
      </c>
      <c r="K793" t="s">
        <v>24</v>
      </c>
      <c r="L793">
        <v>8.6</v>
      </c>
      <c r="M793">
        <v>7</v>
      </c>
      <c r="N793" t="s">
        <v>25</v>
      </c>
      <c r="O793">
        <f t="shared" si="24"/>
        <v>468.79949999999997</v>
      </c>
      <c r="P793" t="str">
        <f t="shared" si="25"/>
        <v>May</v>
      </c>
    </row>
    <row r="794" spans="1:16" x14ac:dyDescent="0.25">
      <c r="A794" t="s">
        <v>826</v>
      </c>
      <c r="B794">
        <v>52</v>
      </c>
      <c r="C794" t="s">
        <v>15</v>
      </c>
      <c r="D794" t="s">
        <v>27</v>
      </c>
      <c r="E794" s="2">
        <v>45749</v>
      </c>
      <c r="F794" t="s">
        <v>17</v>
      </c>
      <c r="G794">
        <v>200</v>
      </c>
      <c r="H794">
        <v>3</v>
      </c>
      <c r="I794">
        <v>5.63</v>
      </c>
      <c r="J794">
        <v>7.65</v>
      </c>
      <c r="K794" t="s">
        <v>18</v>
      </c>
      <c r="L794">
        <v>7.2</v>
      </c>
      <c r="M794">
        <v>7</v>
      </c>
      <c r="N794" t="s">
        <v>19</v>
      </c>
      <c r="O794">
        <f t="shared" si="24"/>
        <v>613.28</v>
      </c>
      <c r="P794" t="str">
        <f t="shared" si="25"/>
        <v>April</v>
      </c>
    </row>
    <row r="795" spans="1:16" x14ac:dyDescent="0.25">
      <c r="A795" t="s">
        <v>827</v>
      </c>
      <c r="B795">
        <v>23</v>
      </c>
      <c r="C795" t="s">
        <v>38</v>
      </c>
      <c r="D795" t="s">
        <v>27</v>
      </c>
      <c r="E795" s="2">
        <v>45904</v>
      </c>
      <c r="F795" t="s">
        <v>23</v>
      </c>
      <c r="G795">
        <v>150</v>
      </c>
      <c r="H795">
        <v>3</v>
      </c>
      <c r="I795">
        <v>60.93</v>
      </c>
      <c r="J795">
        <v>10.47</v>
      </c>
      <c r="K795" t="s">
        <v>24</v>
      </c>
      <c r="L795">
        <v>7.4</v>
      </c>
      <c r="M795">
        <v>7</v>
      </c>
      <c r="N795" t="s">
        <v>34</v>
      </c>
      <c r="O795">
        <f t="shared" si="24"/>
        <v>521.4</v>
      </c>
      <c r="P795" t="str">
        <f t="shared" si="25"/>
        <v>September</v>
      </c>
    </row>
    <row r="796" spans="1:16" x14ac:dyDescent="0.25">
      <c r="A796" t="s">
        <v>828</v>
      </c>
      <c r="B796">
        <v>35</v>
      </c>
      <c r="C796" t="s">
        <v>38</v>
      </c>
      <c r="D796" t="s">
        <v>52</v>
      </c>
      <c r="E796" s="2">
        <v>45679</v>
      </c>
      <c r="F796" t="s">
        <v>29</v>
      </c>
      <c r="G796">
        <v>100</v>
      </c>
      <c r="H796">
        <v>2</v>
      </c>
      <c r="I796">
        <v>137.36850000000001</v>
      </c>
      <c r="J796">
        <v>20.37</v>
      </c>
      <c r="K796" t="s">
        <v>18</v>
      </c>
      <c r="L796">
        <v>9.1</v>
      </c>
      <c r="M796">
        <v>9</v>
      </c>
      <c r="N796" t="s">
        <v>30</v>
      </c>
      <c r="O796">
        <f t="shared" si="24"/>
        <v>357.73850000000004</v>
      </c>
      <c r="P796" t="str">
        <f t="shared" si="25"/>
        <v>January</v>
      </c>
    </row>
    <row r="797" spans="1:16" x14ac:dyDescent="0.25">
      <c r="A797" t="s">
        <v>829</v>
      </c>
      <c r="B797">
        <v>68</v>
      </c>
      <c r="C797" t="s">
        <v>21</v>
      </c>
      <c r="D797" t="s">
        <v>52</v>
      </c>
      <c r="E797" s="2">
        <v>45677</v>
      </c>
      <c r="F797" t="s">
        <v>29</v>
      </c>
      <c r="G797">
        <v>100</v>
      </c>
      <c r="H797">
        <v>1</v>
      </c>
      <c r="I797">
        <v>107.5</v>
      </c>
      <c r="J797">
        <v>8.0299999999999994</v>
      </c>
      <c r="K797" t="s">
        <v>18</v>
      </c>
      <c r="L797">
        <v>6.8</v>
      </c>
      <c r="M797">
        <v>9</v>
      </c>
      <c r="N797" t="s">
        <v>25</v>
      </c>
      <c r="O797">
        <f t="shared" si="24"/>
        <v>215.53</v>
      </c>
      <c r="P797" t="str">
        <f t="shared" si="25"/>
        <v>January</v>
      </c>
    </row>
    <row r="798" spans="1:16" x14ac:dyDescent="0.25">
      <c r="A798" t="s">
        <v>830</v>
      </c>
      <c r="B798">
        <v>22</v>
      </c>
      <c r="C798" t="s">
        <v>21</v>
      </c>
      <c r="D798" t="s">
        <v>52</v>
      </c>
      <c r="E798" s="2">
        <v>45701</v>
      </c>
      <c r="F798" t="s">
        <v>29</v>
      </c>
      <c r="G798">
        <v>100</v>
      </c>
      <c r="H798">
        <v>3</v>
      </c>
      <c r="I798">
        <v>16.45</v>
      </c>
      <c r="J798">
        <v>25.76</v>
      </c>
      <c r="K798" t="s">
        <v>18</v>
      </c>
      <c r="L798">
        <v>5.2</v>
      </c>
      <c r="M798">
        <v>6</v>
      </c>
      <c r="N798" t="s">
        <v>34</v>
      </c>
      <c r="O798">
        <f t="shared" si="24"/>
        <v>342.21</v>
      </c>
      <c r="P798" t="str">
        <f t="shared" si="25"/>
        <v>February</v>
      </c>
    </row>
    <row r="799" spans="1:16" x14ac:dyDescent="0.25">
      <c r="A799" t="s">
        <v>831</v>
      </c>
      <c r="B799">
        <v>64</v>
      </c>
      <c r="C799" t="s">
        <v>21</v>
      </c>
      <c r="D799" t="s">
        <v>27</v>
      </c>
      <c r="E799" s="2">
        <v>45716</v>
      </c>
      <c r="F799" t="s">
        <v>29</v>
      </c>
      <c r="G799">
        <v>100</v>
      </c>
      <c r="H799">
        <v>3</v>
      </c>
      <c r="I799">
        <v>20.76</v>
      </c>
      <c r="J799">
        <v>13.31</v>
      </c>
      <c r="K799" t="s">
        <v>18</v>
      </c>
      <c r="L799">
        <v>8.1999999999999993</v>
      </c>
      <c r="M799">
        <v>7</v>
      </c>
      <c r="N799" t="s">
        <v>25</v>
      </c>
      <c r="O799">
        <f t="shared" si="24"/>
        <v>334.07</v>
      </c>
      <c r="P799" t="str">
        <f t="shared" si="25"/>
        <v>February</v>
      </c>
    </row>
    <row r="800" spans="1:16" x14ac:dyDescent="0.25">
      <c r="A800" t="s">
        <v>832</v>
      </c>
      <c r="B800">
        <v>42</v>
      </c>
      <c r="C800" t="s">
        <v>21</v>
      </c>
      <c r="D800" t="s">
        <v>52</v>
      </c>
      <c r="E800" s="2">
        <v>45744</v>
      </c>
      <c r="F800" t="s">
        <v>17</v>
      </c>
      <c r="G800">
        <v>200</v>
      </c>
      <c r="H800">
        <v>2</v>
      </c>
      <c r="I800">
        <v>99.03</v>
      </c>
      <c r="J800">
        <v>4.54</v>
      </c>
      <c r="K800" t="s">
        <v>18</v>
      </c>
      <c r="L800">
        <v>9.6</v>
      </c>
      <c r="M800">
        <v>7</v>
      </c>
      <c r="N800" t="s">
        <v>19</v>
      </c>
      <c r="O800">
        <f t="shared" si="24"/>
        <v>503.57</v>
      </c>
      <c r="P800" t="str">
        <f t="shared" si="25"/>
        <v>March</v>
      </c>
    </row>
    <row r="801" spans="1:16" x14ac:dyDescent="0.25">
      <c r="A801" t="s">
        <v>833</v>
      </c>
      <c r="B801">
        <v>19</v>
      </c>
      <c r="C801" t="s">
        <v>21</v>
      </c>
      <c r="D801" t="s">
        <v>52</v>
      </c>
      <c r="E801" s="2">
        <v>45880</v>
      </c>
      <c r="F801" t="s">
        <v>17</v>
      </c>
      <c r="G801">
        <v>200</v>
      </c>
      <c r="H801">
        <v>3</v>
      </c>
      <c r="I801">
        <v>46.51</v>
      </c>
      <c r="J801">
        <v>26.25</v>
      </c>
      <c r="K801" t="s">
        <v>24</v>
      </c>
      <c r="L801">
        <v>9</v>
      </c>
      <c r="M801">
        <v>8</v>
      </c>
      <c r="N801" t="s">
        <v>34</v>
      </c>
      <c r="O801">
        <f t="shared" si="24"/>
        <v>672.76</v>
      </c>
      <c r="P801" t="str">
        <f t="shared" si="25"/>
        <v>August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OBEYSEKERA A.S.N.</cp:lastModifiedBy>
  <dcterms:created xsi:type="dcterms:W3CDTF">2026-05-10T04:33:19Z</dcterms:created>
  <dcterms:modified xsi:type="dcterms:W3CDTF">2026-05-10T05:24:08Z</dcterms:modified>
</cp:coreProperties>
</file>